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erariaimchile-my.sharepoint.com/personal/anais_gonzalez_funerariaim_cl/Documents/Dashboard_Control Diario de Ventas/Archivos de Mes/ABRIL/"/>
    </mc:Choice>
  </mc:AlternateContent>
  <xr:revisionPtr revIDLastSave="18" documentId="8_{72962B2A-2139-42D7-98C8-2464BEA22820}" xr6:coauthVersionLast="47" xr6:coauthVersionMax="47" xr10:uidLastSave="{6E1DD9CC-A546-40C8-926B-C06D37D267FB}"/>
  <bookViews>
    <workbookView xWindow="-108" yWindow="-108" windowWidth="23256" windowHeight="12456" xr2:uid="{97D2A031-07BF-4B71-BC0E-1411959519BA}"/>
  </bookViews>
  <sheets>
    <sheet name="Proyeccion Venta Diaria Q" sheetId="2" r:id="rId1"/>
    <sheet name="Proyeccion venta diaria $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E30" i="2" s="1"/>
  <c r="C26" i="2"/>
  <c r="E26" i="2" s="1"/>
  <c r="C22" i="2"/>
  <c r="E22" i="2" s="1"/>
  <c r="C18" i="2"/>
  <c r="E18" i="2" s="1"/>
  <c r="C14" i="2"/>
  <c r="E14" i="2" s="1"/>
  <c r="C10" i="2"/>
  <c r="E10" i="2" s="1"/>
  <c r="C6" i="2"/>
  <c r="E6" i="2" s="1"/>
  <c r="C33" i="2"/>
  <c r="E33" i="2" s="1"/>
  <c r="C32" i="2"/>
  <c r="E32" i="2" s="1"/>
  <c r="C31" i="2"/>
  <c r="E31" i="2" s="1"/>
  <c r="C29" i="2"/>
  <c r="E29" i="2" s="1"/>
  <c r="C28" i="2"/>
  <c r="E28" i="2" s="1"/>
  <c r="C27" i="2"/>
  <c r="E27" i="2" s="1"/>
  <c r="C25" i="2"/>
  <c r="E25" i="2" s="1"/>
  <c r="C24" i="2"/>
  <c r="E24" i="2" s="1"/>
  <c r="C23" i="2"/>
  <c r="E23" i="2" s="1"/>
  <c r="C21" i="2"/>
  <c r="E21" i="2" s="1"/>
  <c r="C20" i="2"/>
  <c r="E20" i="2" s="1"/>
  <c r="C19" i="2"/>
  <c r="E19" i="2" s="1"/>
  <c r="C17" i="2"/>
  <c r="E17" i="2" s="1"/>
  <c r="C16" i="2"/>
  <c r="E16" i="2" s="1"/>
  <c r="C15" i="2"/>
  <c r="E15" i="2" s="1"/>
  <c r="C13" i="2"/>
  <c r="E13" i="2" s="1"/>
  <c r="C12" i="2"/>
  <c r="E12" i="2" s="1"/>
  <c r="C11" i="2"/>
  <c r="E11" i="2" s="1"/>
  <c r="C9" i="2"/>
  <c r="E9" i="2" s="1"/>
  <c r="C8" i="2"/>
  <c r="E8" i="2" s="1"/>
  <c r="C7" i="2"/>
  <c r="E7" i="2" s="1"/>
  <c r="C5" i="2"/>
  <c r="E5" i="2" s="1"/>
  <c r="C4" i="2"/>
  <c r="E4" i="2" s="1"/>
  <c r="C3" i="2"/>
  <c r="E3" i="2" s="1"/>
  <c r="C33" i="1"/>
  <c r="E33" i="1" s="1"/>
  <c r="C32" i="1"/>
  <c r="E32" i="1" s="1"/>
  <c r="C31" i="1"/>
  <c r="E31" i="1" s="1"/>
  <c r="C30" i="1"/>
  <c r="E30" i="1" s="1"/>
  <c r="C29" i="1"/>
  <c r="E29" i="1" s="1"/>
  <c r="C28" i="1"/>
  <c r="E28" i="1" s="1"/>
  <c r="C27" i="1"/>
  <c r="E27" i="1" s="1"/>
  <c r="C26" i="1"/>
  <c r="E26" i="1" s="1"/>
  <c r="C25" i="1"/>
  <c r="E25" i="1" s="1"/>
  <c r="C24" i="1"/>
  <c r="E24" i="1" s="1"/>
  <c r="C23" i="1"/>
  <c r="E23" i="1" s="1"/>
  <c r="C22" i="1"/>
  <c r="E22" i="1" s="1"/>
  <c r="C21" i="1"/>
  <c r="E21" i="1" s="1"/>
  <c r="C20" i="1"/>
  <c r="E20" i="1" s="1"/>
  <c r="C19" i="1"/>
  <c r="E19" i="1" s="1"/>
  <c r="C18" i="1"/>
  <c r="E18" i="1" s="1"/>
  <c r="C17" i="1"/>
  <c r="E17" i="1" s="1"/>
  <c r="C16" i="1"/>
  <c r="E16" i="1" s="1"/>
  <c r="C15" i="1"/>
  <c r="E15" i="1" s="1"/>
  <c r="C14" i="1"/>
  <c r="E14" i="1" s="1"/>
  <c r="C13" i="1"/>
  <c r="E13" i="1" s="1"/>
  <c r="C12" i="1"/>
  <c r="E12" i="1" s="1"/>
  <c r="C11" i="1"/>
  <c r="E11" i="1" s="1"/>
  <c r="C10" i="1"/>
  <c r="E10" i="1" s="1"/>
  <c r="C9" i="1"/>
  <c r="E9" i="1" s="1"/>
  <c r="C8" i="1"/>
  <c r="E8" i="1" s="1"/>
  <c r="C7" i="1"/>
  <c r="E7" i="1" s="1"/>
  <c r="C6" i="1"/>
  <c r="E6" i="1" s="1"/>
  <c r="C5" i="1"/>
  <c r="E5" i="1" s="1"/>
  <c r="C4" i="1"/>
  <c r="E4" i="1" s="1"/>
  <c r="C3" i="1"/>
  <c r="E3" i="1" s="1"/>
</calcChain>
</file>

<file path=xl/sharedStrings.xml><?xml version="1.0" encoding="utf-8"?>
<sst xmlns="http://schemas.openxmlformats.org/spreadsheetml/2006/main" count="12" uniqueCount="7">
  <si>
    <t>Dias</t>
  </si>
  <si>
    <t>Porcentaje de Meta por dia</t>
  </si>
  <si>
    <t>Meta Total del mes</t>
  </si>
  <si>
    <t>Meta Diaria</t>
  </si>
  <si>
    <t>Venta Real</t>
  </si>
  <si>
    <t>Proyeccion</t>
  </si>
  <si>
    <t>Meta Total del mes en Contratos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</si>
</sst>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0" fontId="0" fillId="0" borderId="0" xfId="1" applyNumberFormat="1" applyFont="1"/>
    <xf numFmtId="164" fontId="0" fillId="0" borderId="0" xfId="2" applyFont="1"/>
    <xf numFmtId="10" fontId="0" fillId="0" borderId="0" xfId="0" applyNumberFormat="1"/>
  </cellXfs>
  <cellStyles count="3">
    <cellStyle name="Millares [0]" xfId="2" builtinId="6"/>
    <cellStyle name="Normal" xfId="0" builtinId="0"/>
    <cellStyle name="Porcentaje" xfId="1" builtinId="5"/>
  </cellStyles>
  <dxfs count="2">
    <dxf>
      <font>
        <b/>
        <i val="0"/>
      </font>
      <fill>
        <patternFill patternType="solid">
          <fgColor indexed="64"/>
          <bgColor rgb="FFBDD7EE"/>
        </patternFill>
      </fill>
    </dxf>
    <dxf>
      <font>
        <b/>
        <i val="0"/>
      </font>
      <fill>
        <patternFill patternType="solid">
          <fgColor indexed="64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A9B2-21D4-4B0E-BEC1-20DEACA014A6}">
  <dimension ref="A1:E33"/>
  <sheetViews>
    <sheetView tabSelected="1" workbookViewId="0">
      <selection activeCell="G6" sqref="G6"/>
    </sheetView>
  </sheetViews>
  <sheetFormatPr baseColWidth="10" defaultRowHeight="14.4" x14ac:dyDescent="0.3"/>
  <cols>
    <col min="1" max="1" width="15.21875" bestFit="1" customWidth="1"/>
    <col min="2" max="2" width="21.88671875" bestFit="1" customWidth="1"/>
    <col min="3" max="3" width="11.44140625" style="4" bestFit="1" customWidth="1"/>
    <col min="5" max="5" width="12.21875" bestFit="1" customWidth="1"/>
  </cols>
  <sheetData>
    <row r="1" spans="1:5" x14ac:dyDescent="0.3">
      <c r="A1" t="s">
        <v>6</v>
      </c>
      <c r="B1" s="4">
        <v>43</v>
      </c>
    </row>
    <row r="2" spans="1:5" x14ac:dyDescent="0.3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</row>
    <row r="3" spans="1:5" x14ac:dyDescent="0.3">
      <c r="A3" s="1">
        <v>1</v>
      </c>
      <c r="B3" s="5">
        <v>2.6170453078083591E-2</v>
      </c>
      <c r="C3" s="4">
        <f>+$B$1*B3</f>
        <v>1.1253294823575943</v>
      </c>
      <c r="D3" s="4"/>
      <c r="E3" s="4">
        <f>+($B$1*(D3*$B$33)/C3)</f>
        <v>0</v>
      </c>
    </row>
    <row r="4" spans="1:5" x14ac:dyDescent="0.3">
      <c r="A4" s="1">
        <v>2</v>
      </c>
      <c r="B4" s="5">
        <v>4.6903732144696002E-2</v>
      </c>
      <c r="C4" s="4">
        <f t="shared" ref="C4:C33" si="0">+$B$1*B4</f>
        <v>2.016860482221928</v>
      </c>
      <c r="E4" s="4">
        <f t="shared" ref="E4:E33" si="1">+($B$1*(D4*$B$33)/C4)</f>
        <v>0</v>
      </c>
    </row>
    <row r="5" spans="1:5" x14ac:dyDescent="0.3">
      <c r="A5" s="1">
        <v>3</v>
      </c>
      <c r="B5" s="5">
        <v>7.1151588307445779E-2</v>
      </c>
      <c r="C5" s="4">
        <f t="shared" si="0"/>
        <v>3.0595182972201687</v>
      </c>
      <c r="E5" s="4">
        <f t="shared" si="1"/>
        <v>0</v>
      </c>
    </row>
    <row r="6" spans="1:5" x14ac:dyDescent="0.3">
      <c r="A6" s="1">
        <v>4</v>
      </c>
      <c r="B6" s="5">
        <v>6.9780141214816085E-2</v>
      </c>
      <c r="C6" s="4">
        <f t="shared" si="0"/>
        <v>3.0005460722370918</v>
      </c>
      <c r="E6" s="4">
        <f t="shared" si="1"/>
        <v>0</v>
      </c>
    </row>
    <row r="7" spans="1:5" x14ac:dyDescent="0.3">
      <c r="A7" s="1">
        <v>5</v>
      </c>
      <c r="B7" s="5">
        <v>9.5040489969140732E-2</v>
      </c>
      <c r="C7" s="4">
        <f t="shared" si="0"/>
        <v>4.0867410686730512</v>
      </c>
      <c r="E7" s="4">
        <f t="shared" si="1"/>
        <v>0</v>
      </c>
    </row>
    <row r="8" spans="1:5" x14ac:dyDescent="0.3">
      <c r="A8" s="1">
        <v>6</v>
      </c>
      <c r="B8" s="5">
        <v>0.10977412264119375</v>
      </c>
      <c r="C8" s="4">
        <f t="shared" si="0"/>
        <v>4.7202872735713317</v>
      </c>
      <c r="E8" s="4">
        <f t="shared" si="1"/>
        <v>0</v>
      </c>
    </row>
    <row r="9" spans="1:5" x14ac:dyDescent="0.3">
      <c r="A9" s="1">
        <v>7</v>
      </c>
      <c r="B9" s="5">
        <v>0.11899780544643686</v>
      </c>
      <c r="C9" s="4">
        <f t="shared" si="0"/>
        <v>5.1169056341967849</v>
      </c>
      <c r="E9" s="4">
        <f t="shared" si="1"/>
        <v>0</v>
      </c>
    </row>
    <row r="10" spans="1:5" x14ac:dyDescent="0.3">
      <c r="A10" s="1">
        <v>8</v>
      </c>
      <c r="B10" s="5">
        <v>0.12529447699133534</v>
      </c>
      <c r="C10" s="4">
        <f t="shared" si="0"/>
        <v>5.3876625106274192</v>
      </c>
      <c r="E10" s="4">
        <f t="shared" si="1"/>
        <v>0</v>
      </c>
    </row>
    <row r="11" spans="1:5" x14ac:dyDescent="0.3">
      <c r="A11" s="1">
        <v>9</v>
      </c>
      <c r="B11" s="5">
        <v>0.14159378489820826</v>
      </c>
      <c r="C11" s="4">
        <f t="shared" si="0"/>
        <v>6.0885327506229547</v>
      </c>
      <c r="E11" s="4">
        <f t="shared" si="1"/>
        <v>0</v>
      </c>
    </row>
    <row r="12" spans="1:5" x14ac:dyDescent="0.3">
      <c r="A12" s="1">
        <v>10</v>
      </c>
      <c r="B12" s="5">
        <v>0.17506182941826223</v>
      </c>
      <c r="C12" s="4">
        <f t="shared" si="0"/>
        <v>7.5276586649852764</v>
      </c>
      <c r="E12" s="4">
        <f t="shared" si="1"/>
        <v>0</v>
      </c>
    </row>
    <row r="13" spans="1:5" x14ac:dyDescent="0.3">
      <c r="A13" s="1">
        <v>11</v>
      </c>
      <c r="B13" s="5">
        <v>0.16342662417529258</v>
      </c>
      <c r="C13" s="4">
        <f t="shared" si="0"/>
        <v>7.027344839537581</v>
      </c>
      <c r="E13" s="4">
        <f t="shared" si="1"/>
        <v>0</v>
      </c>
    </row>
    <row r="14" spans="1:5" x14ac:dyDescent="0.3">
      <c r="A14" s="1">
        <v>12</v>
      </c>
      <c r="B14" s="5">
        <v>0.19708508312213913</v>
      </c>
      <c r="C14" s="4">
        <f t="shared" si="0"/>
        <v>8.4746585742519827</v>
      </c>
      <c r="E14" s="4">
        <f t="shared" si="1"/>
        <v>0</v>
      </c>
    </row>
    <row r="15" spans="1:5" x14ac:dyDescent="0.3">
      <c r="A15" s="1">
        <v>13</v>
      </c>
      <c r="B15" s="5">
        <v>0.22520132940609172</v>
      </c>
      <c r="C15" s="4">
        <f t="shared" si="0"/>
        <v>9.6836571644619447</v>
      </c>
      <c r="E15" s="4">
        <f t="shared" si="1"/>
        <v>0</v>
      </c>
    </row>
    <row r="16" spans="1:5" x14ac:dyDescent="0.3">
      <c r="A16" s="1">
        <v>14</v>
      </c>
      <c r="B16" s="5">
        <v>0.22203649869276915</v>
      </c>
      <c r="C16" s="4">
        <f t="shared" si="0"/>
        <v>9.5475694437890741</v>
      </c>
      <c r="E16" s="4">
        <f t="shared" si="1"/>
        <v>0</v>
      </c>
    </row>
    <row r="17" spans="1:5" x14ac:dyDescent="0.3">
      <c r="A17" s="1">
        <v>15</v>
      </c>
      <c r="B17" s="5">
        <v>0.2387167320396692</v>
      </c>
      <c r="C17" s="4">
        <f t="shared" si="0"/>
        <v>10.264819477705776</v>
      </c>
      <c r="E17" s="4">
        <f t="shared" si="1"/>
        <v>0</v>
      </c>
    </row>
    <row r="18" spans="1:5" x14ac:dyDescent="0.3">
      <c r="A18" s="1">
        <v>16</v>
      </c>
      <c r="B18" s="5">
        <v>0.25391932779782045</v>
      </c>
      <c r="C18" s="4">
        <f t="shared" si="0"/>
        <v>10.91853109530628</v>
      </c>
      <c r="E18" s="4">
        <f t="shared" si="1"/>
        <v>0</v>
      </c>
    </row>
    <row r="19" spans="1:5" x14ac:dyDescent="0.3">
      <c r="A19" s="1">
        <v>17</v>
      </c>
      <c r="B19" s="5">
        <v>0.25873053532770407</v>
      </c>
      <c r="C19" s="4">
        <f t="shared" si="0"/>
        <v>11.125413019091274</v>
      </c>
      <c r="E19" s="4">
        <f t="shared" si="1"/>
        <v>0</v>
      </c>
    </row>
    <row r="20" spans="1:5" x14ac:dyDescent="0.3">
      <c r="A20" s="1">
        <v>18</v>
      </c>
      <c r="B20" s="5">
        <v>0.27706631477459465</v>
      </c>
      <c r="C20" s="4">
        <f t="shared" si="0"/>
        <v>11.91385153530757</v>
      </c>
      <c r="E20" s="4">
        <f t="shared" si="1"/>
        <v>0</v>
      </c>
    </row>
    <row r="21" spans="1:5" x14ac:dyDescent="0.3">
      <c r="A21" s="1">
        <v>19</v>
      </c>
      <c r="B21" s="5">
        <v>0.30215662681269789</v>
      </c>
      <c r="C21" s="4">
        <f t="shared" si="0"/>
        <v>12.992734952946009</v>
      </c>
      <c r="E21" s="4">
        <f t="shared" si="1"/>
        <v>0</v>
      </c>
    </row>
    <row r="22" spans="1:5" x14ac:dyDescent="0.3">
      <c r="A22" s="1">
        <v>20</v>
      </c>
      <c r="B22" s="5">
        <v>0.32198243112538594</v>
      </c>
      <c r="C22" s="4">
        <f t="shared" si="0"/>
        <v>13.845244538391595</v>
      </c>
      <c r="E22" s="4">
        <f t="shared" si="1"/>
        <v>0</v>
      </c>
    </row>
    <row r="23" spans="1:5" x14ac:dyDescent="0.3">
      <c r="A23" s="1">
        <v>21</v>
      </c>
      <c r="B23" s="5">
        <v>0.33302080173822463</v>
      </c>
      <c r="C23" s="4">
        <f t="shared" si="0"/>
        <v>14.319894474743659</v>
      </c>
      <c r="E23" s="4">
        <f t="shared" si="1"/>
        <v>0</v>
      </c>
    </row>
    <row r="24" spans="1:5" x14ac:dyDescent="0.3">
      <c r="A24" s="1">
        <v>22</v>
      </c>
      <c r="B24" s="5">
        <v>0.34078606641838294</v>
      </c>
      <c r="C24" s="4">
        <f t="shared" si="0"/>
        <v>14.653800855990466</v>
      </c>
      <c r="E24" s="4">
        <f t="shared" si="1"/>
        <v>0</v>
      </c>
    </row>
    <row r="25" spans="1:5" x14ac:dyDescent="0.3">
      <c r="A25" s="1">
        <v>23</v>
      </c>
      <c r="B25" s="5">
        <v>0.34565145319866331</v>
      </c>
      <c r="C25" s="4">
        <f t="shared" si="0"/>
        <v>14.863012487542521</v>
      </c>
      <c r="E25" s="4">
        <f t="shared" si="1"/>
        <v>0</v>
      </c>
    </row>
    <row r="26" spans="1:5" x14ac:dyDescent="0.3">
      <c r="A26" s="1">
        <v>24</v>
      </c>
      <c r="B26" s="5">
        <v>0.36402114934613722</v>
      </c>
      <c r="C26" s="4">
        <f t="shared" si="0"/>
        <v>15.6529094218839</v>
      </c>
      <c r="E26" s="4">
        <f t="shared" si="1"/>
        <v>0</v>
      </c>
    </row>
    <row r="27" spans="1:5" x14ac:dyDescent="0.3">
      <c r="A27" s="1">
        <v>25</v>
      </c>
      <c r="B27" s="5">
        <v>0.38577853108457799</v>
      </c>
      <c r="C27" s="4">
        <f t="shared" si="0"/>
        <v>16.588476836636854</v>
      </c>
      <c r="E27" s="4">
        <f t="shared" si="1"/>
        <v>0</v>
      </c>
    </row>
    <row r="28" spans="1:5" x14ac:dyDescent="0.3">
      <c r="A28" s="1">
        <v>26</v>
      </c>
      <c r="B28" s="5">
        <v>0.41724024949408756</v>
      </c>
      <c r="C28" s="4">
        <f t="shared" si="0"/>
        <v>17.941330728245767</v>
      </c>
      <c r="E28" s="4">
        <f t="shared" si="1"/>
        <v>0</v>
      </c>
    </row>
    <row r="29" spans="1:5" x14ac:dyDescent="0.3">
      <c r="A29" s="1">
        <v>27</v>
      </c>
      <c r="B29" s="5">
        <v>0.42837834616153569</v>
      </c>
      <c r="C29" s="4">
        <f t="shared" si="0"/>
        <v>18.420268884946037</v>
      </c>
      <c r="E29" s="4">
        <f t="shared" si="1"/>
        <v>0</v>
      </c>
    </row>
    <row r="30" spans="1:5" x14ac:dyDescent="0.3">
      <c r="A30" s="1">
        <v>28</v>
      </c>
      <c r="B30" s="5">
        <v>0.43171235782888068</v>
      </c>
      <c r="C30" s="4">
        <f t="shared" si="0"/>
        <v>18.56363138664187</v>
      </c>
      <c r="E30" s="4">
        <f t="shared" si="1"/>
        <v>0</v>
      </c>
    </row>
    <row r="31" spans="1:5" x14ac:dyDescent="0.3">
      <c r="A31" s="1">
        <v>29</v>
      </c>
      <c r="B31" s="5">
        <v>0.46518221262019155</v>
      </c>
      <c r="C31" s="4">
        <f t="shared" si="0"/>
        <v>20.002835142668236</v>
      </c>
      <c r="E31" s="4">
        <f t="shared" si="1"/>
        <v>0</v>
      </c>
    </row>
    <row r="32" spans="1:5" x14ac:dyDescent="0.3">
      <c r="A32" s="1">
        <v>30</v>
      </c>
      <c r="B32" s="5">
        <v>0.49168193214591577</v>
      </c>
      <c r="C32" s="4">
        <f t="shared" si="0"/>
        <v>21.142323082274377</v>
      </c>
      <c r="E32" s="4">
        <f t="shared" si="1"/>
        <v>0</v>
      </c>
    </row>
    <row r="33" spans="1:5" x14ac:dyDescent="0.3">
      <c r="A33" s="1">
        <v>31</v>
      </c>
      <c r="B33" s="5">
        <v>1</v>
      </c>
      <c r="C33" s="4">
        <f t="shared" si="0"/>
        <v>43</v>
      </c>
      <c r="E33" s="4">
        <f t="shared" si="1"/>
        <v>0</v>
      </c>
    </row>
  </sheetData>
  <conditionalFormatting sqref="A3:A33">
    <cfRule type="expression" dxfId="1" priority="1">
      <formula>$A3=$B$112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516D-DB2D-4859-B61B-1A68D75109AA}">
  <dimension ref="A1:E33"/>
  <sheetViews>
    <sheetView workbookViewId="0">
      <selection activeCell="B1" sqref="B1"/>
    </sheetView>
  </sheetViews>
  <sheetFormatPr baseColWidth="10" defaultRowHeight="14.4" x14ac:dyDescent="0.3"/>
  <cols>
    <col min="1" max="1" width="15.21875" bestFit="1" customWidth="1"/>
    <col min="2" max="2" width="21.88671875" bestFit="1" customWidth="1"/>
    <col min="3" max="3" width="15.6640625" style="4" customWidth="1"/>
    <col min="5" max="5" width="12.21875" bestFit="1" customWidth="1"/>
  </cols>
  <sheetData>
    <row r="1" spans="1:5" x14ac:dyDescent="0.3">
      <c r="A1" t="s">
        <v>2</v>
      </c>
      <c r="B1" s="4">
        <v>142000000</v>
      </c>
    </row>
    <row r="2" spans="1:5" x14ac:dyDescent="0.3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</row>
    <row r="3" spans="1:5" x14ac:dyDescent="0.3">
      <c r="A3" s="1">
        <v>1</v>
      </c>
      <c r="B3" s="3">
        <v>2.6170453078083591E-2</v>
      </c>
      <c r="C3" s="4">
        <f>+$B$1*B3</f>
        <v>3716204.3370878701</v>
      </c>
      <c r="D3" s="4"/>
      <c r="E3" s="4">
        <f>+($B$1*(D3*$B$33)/C3)</f>
        <v>0</v>
      </c>
    </row>
    <row r="4" spans="1:5" x14ac:dyDescent="0.3">
      <c r="A4" s="1">
        <v>2</v>
      </c>
      <c r="B4" s="3">
        <v>4.6903732144696002E-2</v>
      </c>
      <c r="C4" s="4">
        <f t="shared" ref="C4:C33" si="0">+$B$1*B4</f>
        <v>6660329.9645468323</v>
      </c>
      <c r="E4" s="4">
        <f t="shared" ref="E4:E33" si="1">+($B$1*(D4*$B$33)/C4)</f>
        <v>0</v>
      </c>
    </row>
    <row r="5" spans="1:5" x14ac:dyDescent="0.3">
      <c r="A5" s="1">
        <v>3</v>
      </c>
      <c r="B5" s="3">
        <v>7.1151588307445779E-2</v>
      </c>
      <c r="C5" s="4">
        <f t="shared" si="0"/>
        <v>10103525.5396573</v>
      </c>
      <c r="E5" s="4">
        <f t="shared" si="1"/>
        <v>0</v>
      </c>
    </row>
    <row r="6" spans="1:5" x14ac:dyDescent="0.3">
      <c r="A6" s="1">
        <v>4</v>
      </c>
      <c r="B6" s="3">
        <v>6.9780141214816085E-2</v>
      </c>
      <c r="C6" s="4">
        <f t="shared" si="0"/>
        <v>9908780.0525038838</v>
      </c>
      <c r="E6" s="4">
        <f t="shared" si="1"/>
        <v>0</v>
      </c>
    </row>
    <row r="7" spans="1:5" x14ac:dyDescent="0.3">
      <c r="A7" s="1">
        <v>5</v>
      </c>
      <c r="B7" s="3">
        <v>9.5040489969140732E-2</v>
      </c>
      <c r="C7" s="4">
        <f t="shared" si="0"/>
        <v>13495749.575617984</v>
      </c>
      <c r="E7" s="4">
        <f t="shared" si="1"/>
        <v>0</v>
      </c>
    </row>
    <row r="8" spans="1:5" x14ac:dyDescent="0.3">
      <c r="A8" s="1">
        <v>6</v>
      </c>
      <c r="B8" s="3">
        <v>0.10977412264119375</v>
      </c>
      <c r="C8" s="4">
        <f t="shared" si="0"/>
        <v>15587925.415049514</v>
      </c>
      <c r="E8" s="4">
        <f t="shared" si="1"/>
        <v>0</v>
      </c>
    </row>
    <row r="9" spans="1:5" x14ac:dyDescent="0.3">
      <c r="A9" s="1">
        <v>7</v>
      </c>
      <c r="B9" s="3">
        <v>0.11899780544643686</v>
      </c>
      <c r="C9" s="4">
        <f t="shared" si="0"/>
        <v>16897688.373394035</v>
      </c>
      <c r="E9" s="4">
        <f t="shared" si="1"/>
        <v>0</v>
      </c>
    </row>
    <row r="10" spans="1:5" x14ac:dyDescent="0.3">
      <c r="A10" s="1">
        <v>8</v>
      </c>
      <c r="B10" s="3">
        <v>0.12529447699133534</v>
      </c>
      <c r="C10" s="4">
        <f t="shared" si="0"/>
        <v>17791815.732769616</v>
      </c>
      <c r="E10" s="4">
        <f t="shared" si="1"/>
        <v>0</v>
      </c>
    </row>
    <row r="11" spans="1:5" x14ac:dyDescent="0.3">
      <c r="A11" s="1">
        <v>9</v>
      </c>
      <c r="B11" s="3">
        <v>0.14159378489820826</v>
      </c>
      <c r="C11" s="4">
        <f t="shared" si="0"/>
        <v>20106317.455545574</v>
      </c>
      <c r="E11" s="4">
        <f t="shared" si="1"/>
        <v>0</v>
      </c>
    </row>
    <row r="12" spans="1:5" x14ac:dyDescent="0.3">
      <c r="A12" s="1">
        <v>10</v>
      </c>
      <c r="B12" s="3">
        <v>0.17506182941826223</v>
      </c>
      <c r="C12" s="4">
        <f t="shared" si="0"/>
        <v>24858779.777393237</v>
      </c>
      <c r="E12" s="4">
        <f t="shared" si="1"/>
        <v>0</v>
      </c>
    </row>
    <row r="13" spans="1:5" x14ac:dyDescent="0.3">
      <c r="A13" s="1">
        <v>11</v>
      </c>
      <c r="B13" s="3">
        <v>0.16342662417529258</v>
      </c>
      <c r="C13" s="4">
        <f t="shared" si="0"/>
        <v>23206580.632891547</v>
      </c>
      <c r="E13" s="4">
        <f t="shared" si="1"/>
        <v>0</v>
      </c>
    </row>
    <row r="14" spans="1:5" x14ac:dyDescent="0.3">
      <c r="A14" s="1">
        <v>12</v>
      </c>
      <c r="B14" s="3">
        <v>0.19708508312213913</v>
      </c>
      <c r="C14" s="4">
        <f t="shared" si="0"/>
        <v>27986081.803343754</v>
      </c>
      <c r="E14" s="4">
        <f t="shared" si="1"/>
        <v>0</v>
      </c>
    </row>
    <row r="15" spans="1:5" x14ac:dyDescent="0.3">
      <c r="A15" s="1">
        <v>13</v>
      </c>
      <c r="B15" s="3">
        <v>0.22520132940609172</v>
      </c>
      <c r="C15" s="4">
        <f t="shared" si="0"/>
        <v>31978588.775665026</v>
      </c>
      <c r="E15" s="4">
        <f t="shared" si="1"/>
        <v>0</v>
      </c>
    </row>
    <row r="16" spans="1:5" x14ac:dyDescent="0.3">
      <c r="A16" s="1">
        <v>14</v>
      </c>
      <c r="B16" s="3">
        <v>0.22203649869276915</v>
      </c>
      <c r="C16" s="4">
        <f t="shared" si="0"/>
        <v>31529182.814373218</v>
      </c>
      <c r="E16" s="4">
        <f t="shared" si="1"/>
        <v>0</v>
      </c>
    </row>
    <row r="17" spans="1:5" x14ac:dyDescent="0.3">
      <c r="A17" s="1">
        <v>15</v>
      </c>
      <c r="B17" s="3">
        <v>0.2387167320396692</v>
      </c>
      <c r="C17" s="4">
        <f t="shared" si="0"/>
        <v>33897775.949633025</v>
      </c>
      <c r="E17" s="4">
        <f t="shared" si="1"/>
        <v>0</v>
      </c>
    </row>
    <row r="18" spans="1:5" x14ac:dyDescent="0.3">
      <c r="A18" s="1">
        <v>16</v>
      </c>
      <c r="B18" s="3">
        <v>0.25391932779782045</v>
      </c>
      <c r="C18" s="4">
        <f t="shared" si="0"/>
        <v>36056544.547290504</v>
      </c>
      <c r="E18" s="4">
        <f t="shared" si="1"/>
        <v>0</v>
      </c>
    </row>
    <row r="19" spans="1:5" x14ac:dyDescent="0.3">
      <c r="A19" s="1">
        <v>17</v>
      </c>
      <c r="B19" s="3">
        <v>0.25873053532770407</v>
      </c>
      <c r="C19" s="4">
        <f t="shared" si="0"/>
        <v>36739736.016533978</v>
      </c>
      <c r="E19" s="4">
        <f t="shared" si="1"/>
        <v>0</v>
      </c>
    </row>
    <row r="20" spans="1:5" x14ac:dyDescent="0.3">
      <c r="A20" s="1">
        <v>18</v>
      </c>
      <c r="B20" s="3">
        <v>0.27706631477459465</v>
      </c>
      <c r="C20" s="4">
        <f t="shared" si="0"/>
        <v>39343416.697992437</v>
      </c>
      <c r="E20" s="4">
        <f t="shared" si="1"/>
        <v>0</v>
      </c>
    </row>
    <row r="21" spans="1:5" x14ac:dyDescent="0.3">
      <c r="A21" s="1">
        <v>19</v>
      </c>
      <c r="B21" s="3">
        <v>0.30215662681269789</v>
      </c>
      <c r="C21" s="4">
        <f t="shared" si="0"/>
        <v>42906241.007403098</v>
      </c>
      <c r="E21" s="4">
        <f t="shared" si="1"/>
        <v>0</v>
      </c>
    </row>
    <row r="22" spans="1:5" x14ac:dyDescent="0.3">
      <c r="A22" s="1">
        <v>20</v>
      </c>
      <c r="B22" s="3">
        <v>0.32198243112538594</v>
      </c>
      <c r="C22" s="4">
        <f t="shared" si="0"/>
        <v>45721505.219804801</v>
      </c>
      <c r="E22" s="4">
        <f t="shared" si="1"/>
        <v>0</v>
      </c>
    </row>
    <row r="23" spans="1:5" x14ac:dyDescent="0.3">
      <c r="A23" s="1">
        <v>21</v>
      </c>
      <c r="B23" s="3">
        <v>0.33302080173822463</v>
      </c>
      <c r="C23" s="4">
        <f t="shared" si="0"/>
        <v>47288953.846827894</v>
      </c>
      <c r="E23" s="4">
        <f t="shared" si="1"/>
        <v>0</v>
      </c>
    </row>
    <row r="24" spans="1:5" x14ac:dyDescent="0.3">
      <c r="A24" s="1">
        <v>22</v>
      </c>
      <c r="B24" s="3">
        <v>0.34078606641838294</v>
      </c>
      <c r="C24" s="4">
        <f t="shared" si="0"/>
        <v>48391621.43141038</v>
      </c>
      <c r="E24" s="4">
        <f t="shared" si="1"/>
        <v>0</v>
      </c>
    </row>
    <row r="25" spans="1:5" x14ac:dyDescent="0.3">
      <c r="A25" s="1">
        <v>23</v>
      </c>
      <c r="B25" s="3">
        <v>0.34565145319866331</v>
      </c>
      <c r="C25" s="4">
        <f t="shared" si="0"/>
        <v>49082506.35421019</v>
      </c>
      <c r="E25" s="4">
        <f t="shared" si="1"/>
        <v>0</v>
      </c>
    </row>
    <row r="26" spans="1:5" x14ac:dyDescent="0.3">
      <c r="A26" s="1">
        <v>24</v>
      </c>
      <c r="B26" s="3">
        <v>0.36402114934613722</v>
      </c>
      <c r="C26" s="4">
        <f t="shared" si="0"/>
        <v>51691003.207151487</v>
      </c>
      <c r="E26" s="4">
        <f t="shared" si="1"/>
        <v>0</v>
      </c>
    </row>
    <row r="27" spans="1:5" x14ac:dyDescent="0.3">
      <c r="A27" s="1">
        <v>25</v>
      </c>
      <c r="B27" s="3">
        <v>0.38577853108457799</v>
      </c>
      <c r="C27" s="4">
        <f t="shared" si="0"/>
        <v>54780551.414010078</v>
      </c>
      <c r="E27" s="4">
        <f t="shared" si="1"/>
        <v>0</v>
      </c>
    </row>
    <row r="28" spans="1:5" x14ac:dyDescent="0.3">
      <c r="A28" s="1">
        <v>26</v>
      </c>
      <c r="B28" s="3">
        <v>0.41724024949408756</v>
      </c>
      <c r="C28" s="4">
        <f t="shared" si="0"/>
        <v>59248115.428160436</v>
      </c>
      <c r="E28" s="4">
        <f t="shared" si="1"/>
        <v>0</v>
      </c>
    </row>
    <row r="29" spans="1:5" x14ac:dyDescent="0.3">
      <c r="A29" s="1">
        <v>27</v>
      </c>
      <c r="B29" s="3">
        <v>0.42837834616153569</v>
      </c>
      <c r="C29" s="4">
        <f t="shared" si="0"/>
        <v>60829725.154938072</v>
      </c>
      <c r="E29" s="4">
        <f t="shared" si="1"/>
        <v>0</v>
      </c>
    </row>
    <row r="30" spans="1:5" x14ac:dyDescent="0.3">
      <c r="A30" s="1">
        <v>28</v>
      </c>
      <c r="B30" s="3">
        <v>0.43171235782888068</v>
      </c>
      <c r="C30" s="4">
        <f t="shared" si="0"/>
        <v>61303154.811701059</v>
      </c>
      <c r="E30" s="4">
        <f t="shared" si="1"/>
        <v>0</v>
      </c>
    </row>
    <row r="31" spans="1:5" x14ac:dyDescent="0.3">
      <c r="A31" s="1">
        <v>29</v>
      </c>
      <c r="B31" s="3">
        <v>0.46518221262019155</v>
      </c>
      <c r="C31" s="4">
        <f t="shared" si="0"/>
        <v>66055874.192067198</v>
      </c>
      <c r="E31" s="4">
        <f t="shared" si="1"/>
        <v>0</v>
      </c>
    </row>
    <row r="32" spans="1:5" x14ac:dyDescent="0.3">
      <c r="A32" s="1">
        <v>30</v>
      </c>
      <c r="B32" s="3">
        <v>0.49168193214591577</v>
      </c>
      <c r="C32" s="4">
        <f t="shared" si="0"/>
        <v>69818834.364720032</v>
      </c>
      <c r="E32" s="4">
        <f t="shared" si="1"/>
        <v>0</v>
      </c>
    </row>
    <row r="33" spans="1:5" x14ac:dyDescent="0.3">
      <c r="A33" s="1">
        <v>31</v>
      </c>
      <c r="B33" s="5">
        <v>1</v>
      </c>
      <c r="C33" s="4">
        <f t="shared" si="0"/>
        <v>142000000</v>
      </c>
      <c r="E33" s="4">
        <f t="shared" si="1"/>
        <v>0</v>
      </c>
    </row>
  </sheetData>
  <conditionalFormatting sqref="A3:A33">
    <cfRule type="expression" dxfId="0" priority="1">
      <formula>$A3=$B$112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Proyeccion Venta Diaria Q</vt:lpstr>
      <vt:lpstr>Proyeccion venta diaria $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A. Ramirez G.</dc:creator>
  <cp:lastModifiedBy>Anaís González</cp:lastModifiedBy>
  <dcterms:created xsi:type="dcterms:W3CDTF">2026-03-16T15:16:09Z</dcterms:created>
  <dcterms:modified xsi:type="dcterms:W3CDTF">2026-04-14T18:09:06Z</dcterms:modified>
</cp:coreProperties>
</file>