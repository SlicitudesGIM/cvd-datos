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502c28020c5b60/Documentos/GIM/Proteccion Familiar/Estrategia/Estrategia 2026/3.Estrategia Comercial 2026/Dash board/Archivos_Base Marzo/"/>
    </mc:Choice>
  </mc:AlternateContent>
  <xr:revisionPtr revIDLastSave="9" documentId="8_{97D33487-474D-4B51-BD20-79F53FDD45AD}" xr6:coauthVersionLast="47" xr6:coauthVersionMax="47" xr10:uidLastSave="{37FEF0AF-1F4F-4B00-8232-71338D0CC9CF}"/>
  <bookViews>
    <workbookView xWindow="-98" yWindow="-98" windowWidth="21795" windowHeight="12975" activeTab="1" xr2:uid="{97D2A031-07BF-4B71-BC0E-1411959519BA}"/>
  </bookViews>
  <sheets>
    <sheet name="Proyeccion Venta Diaria Q" sheetId="2" r:id="rId1"/>
    <sheet name="Proyeccion venta diaria $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E33" i="2" s="1"/>
  <c r="C32" i="2"/>
  <c r="E32" i="2" s="1"/>
  <c r="C31" i="2"/>
  <c r="E31" i="2" s="1"/>
  <c r="C30" i="2"/>
  <c r="E30" i="2" s="1"/>
  <c r="C29" i="2"/>
  <c r="E29" i="2" s="1"/>
  <c r="C28" i="2"/>
  <c r="E28" i="2" s="1"/>
  <c r="C27" i="2"/>
  <c r="E27" i="2" s="1"/>
  <c r="C26" i="2"/>
  <c r="E26" i="2" s="1"/>
  <c r="C25" i="2"/>
  <c r="E25" i="2" s="1"/>
  <c r="C24" i="2"/>
  <c r="E24" i="2" s="1"/>
  <c r="C23" i="2"/>
  <c r="E23" i="2" s="1"/>
  <c r="C22" i="2"/>
  <c r="E22" i="2" s="1"/>
  <c r="C21" i="2"/>
  <c r="E21" i="2" s="1"/>
  <c r="C20" i="2"/>
  <c r="E20" i="2" s="1"/>
  <c r="C19" i="2"/>
  <c r="E19" i="2" s="1"/>
  <c r="C18" i="2"/>
  <c r="E18" i="2" s="1"/>
  <c r="C17" i="2"/>
  <c r="E17" i="2" s="1"/>
  <c r="C16" i="2"/>
  <c r="E16" i="2" s="1"/>
  <c r="C15" i="2"/>
  <c r="E15" i="2" s="1"/>
  <c r="C14" i="2"/>
  <c r="E14" i="2" s="1"/>
  <c r="C13" i="2"/>
  <c r="E13" i="2" s="1"/>
  <c r="C12" i="2"/>
  <c r="E12" i="2" s="1"/>
  <c r="C11" i="2"/>
  <c r="E11" i="2" s="1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C4" i="2"/>
  <c r="E4" i="2" s="1"/>
  <c r="C3" i="2"/>
  <c r="E3" i="2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</calcChain>
</file>

<file path=xl/sharedStrings.xml><?xml version="1.0" encoding="utf-8"?>
<sst xmlns="http://schemas.openxmlformats.org/spreadsheetml/2006/main" count="12" uniqueCount="8">
  <si>
    <t>Dias</t>
  </si>
  <si>
    <t>Porcentaje de Meta por dia</t>
  </si>
  <si>
    <t>Meta Total del mes</t>
  </si>
  <si>
    <t>Meta Diaria</t>
  </si>
  <si>
    <t>Venta Real</t>
  </si>
  <si>
    <t>Proyeccion</t>
  </si>
  <si>
    <t>Meta Total del mes en Contratos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</si>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</sst>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0" xfId="1" applyNumberFormat="1" applyFont="1"/>
    <xf numFmtId="41" fontId="0" fillId="0" borderId="0" xfId="2" applyFont="1"/>
  </cellXfs>
  <cellStyles count="3">
    <cellStyle name="Millares [0]" xfId="2" builtinId="6"/>
    <cellStyle name="Normal" xfId="0" builtinId="0"/>
    <cellStyle name="Porcentaje" xfId="1" builtinId="5"/>
  </cellStyles>
  <dxfs count="2">
    <dxf>
      <font>
        <b/>
        <i val="0"/>
      </font>
      <fill>
        <patternFill patternType="solid">
          <fgColor indexed="64"/>
          <bgColor rgb="FFBDD7EE"/>
        </patternFill>
      </fill>
    </dxf>
    <dxf>
      <font>
        <b/>
        <i val="0"/>
      </font>
      <fill>
        <patternFill patternType="solid">
          <fgColor indexed="64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A9B2-21D4-4B0E-BEC1-20DEACA014A6}">
  <dimension ref="A1:E33"/>
  <sheetViews>
    <sheetView workbookViewId="0">
      <selection activeCell="B2" sqref="B2"/>
    </sheetView>
  </sheetViews>
  <sheetFormatPr baseColWidth="10" defaultRowHeight="14.25" x14ac:dyDescent="0.45"/>
  <cols>
    <col min="1" max="1" width="15.19921875" bestFit="1" customWidth="1"/>
    <col min="2" max="2" width="21.86328125" bestFit="1" customWidth="1"/>
    <col min="3" max="3" width="11.46484375" style="4" bestFit="1" customWidth="1"/>
    <col min="5" max="5" width="12.19921875" bestFit="1" customWidth="1"/>
  </cols>
  <sheetData>
    <row r="1" spans="1:5" x14ac:dyDescent="0.45">
      <c r="A1" t="s">
        <v>6</v>
      </c>
      <c r="B1" s="4">
        <v>114</v>
      </c>
    </row>
    <row r="2" spans="1:5" x14ac:dyDescent="0.45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</row>
    <row r="3" spans="1:5" x14ac:dyDescent="0.45">
      <c r="A3" s="1">
        <v>1</v>
      </c>
      <c r="B3" s="3">
        <v>3.6956290771551811E-2</v>
      </c>
      <c r="C3" s="4">
        <f>+$B$1*B3</f>
        <v>4.2130171479569061</v>
      </c>
      <c r="D3" s="4"/>
      <c r="E3" s="4">
        <f>+($B$1*(D3*$B$33)/C3)</f>
        <v>0</v>
      </c>
    </row>
    <row r="4" spans="1:5" x14ac:dyDescent="0.45">
      <c r="A4" s="1">
        <v>2</v>
      </c>
      <c r="B4" s="3">
        <v>7.0730541212468925E-2</v>
      </c>
      <c r="C4" s="4">
        <f t="shared" ref="C4:C33" si="0">+$B$1*B4</f>
        <v>8.0632816982214575</v>
      </c>
      <c r="E4" s="4">
        <f t="shared" ref="E4:E33" si="1">+($B$1*(D4*$B$33)/C4)</f>
        <v>0</v>
      </c>
    </row>
    <row r="5" spans="1:5" x14ac:dyDescent="0.45">
      <c r="A5" s="1">
        <v>3</v>
      </c>
      <c r="B5" s="3">
        <v>0.10384163815335309</v>
      </c>
      <c r="C5" s="4">
        <f t="shared" si="0"/>
        <v>11.837946749482253</v>
      </c>
      <c r="E5" s="4">
        <f t="shared" si="1"/>
        <v>0</v>
      </c>
    </row>
    <row r="6" spans="1:5" x14ac:dyDescent="0.45">
      <c r="A6" s="1">
        <v>4</v>
      </c>
      <c r="B6" s="3">
        <v>0.13186797473732448</v>
      </c>
      <c r="C6" s="4">
        <f t="shared" si="0"/>
        <v>15.03294912005499</v>
      </c>
      <c r="E6" s="4">
        <f t="shared" si="1"/>
        <v>0</v>
      </c>
    </row>
    <row r="7" spans="1:5" x14ac:dyDescent="0.45">
      <c r="A7" s="1">
        <v>5</v>
      </c>
      <c r="B7" s="3">
        <v>0.15931174916905069</v>
      </c>
      <c r="C7" s="4">
        <f t="shared" si="0"/>
        <v>18.161539405271778</v>
      </c>
      <c r="E7" s="4">
        <f t="shared" si="1"/>
        <v>0</v>
      </c>
    </row>
    <row r="8" spans="1:5" x14ac:dyDescent="0.45">
      <c r="A8" s="1">
        <v>6</v>
      </c>
      <c r="B8" s="3">
        <v>0.17339439912854135</v>
      </c>
      <c r="C8" s="4">
        <f t="shared" si="0"/>
        <v>19.766961500653714</v>
      </c>
      <c r="E8" s="4">
        <f t="shared" si="1"/>
        <v>0</v>
      </c>
    </row>
    <row r="9" spans="1:5" x14ac:dyDescent="0.45">
      <c r="A9" s="1">
        <v>7</v>
      </c>
      <c r="B9" s="3">
        <v>0.19953407243133525</v>
      </c>
      <c r="C9" s="4">
        <f t="shared" si="0"/>
        <v>22.746884257172219</v>
      </c>
      <c r="E9" s="4">
        <f t="shared" si="1"/>
        <v>0</v>
      </c>
    </row>
    <row r="10" spans="1:5" x14ac:dyDescent="0.45">
      <c r="A10" s="1">
        <v>8</v>
      </c>
      <c r="B10" s="3">
        <v>0.21212741552113223</v>
      </c>
      <c r="C10" s="4">
        <f t="shared" si="0"/>
        <v>24.182525369409074</v>
      </c>
      <c r="E10" s="4">
        <f t="shared" si="1"/>
        <v>0</v>
      </c>
    </row>
    <row r="11" spans="1:5" x14ac:dyDescent="0.45">
      <c r="A11" s="1">
        <v>9</v>
      </c>
      <c r="B11" s="3">
        <v>0.25241833902718575</v>
      </c>
      <c r="C11" s="4">
        <f t="shared" si="0"/>
        <v>28.775690649099175</v>
      </c>
      <c r="E11" s="4">
        <f t="shared" si="1"/>
        <v>0</v>
      </c>
    </row>
    <row r="12" spans="1:5" x14ac:dyDescent="0.45">
      <c r="A12" s="1">
        <v>10</v>
      </c>
      <c r="B12" s="3">
        <v>0.28858519729806292</v>
      </c>
      <c r="C12" s="4">
        <f t="shared" si="0"/>
        <v>32.898712491979175</v>
      </c>
      <c r="E12" s="4">
        <f t="shared" si="1"/>
        <v>0</v>
      </c>
    </row>
    <row r="13" spans="1:5" x14ac:dyDescent="0.45">
      <c r="A13" s="1">
        <v>11</v>
      </c>
      <c r="B13" s="3">
        <v>0.31916094065827749</v>
      </c>
      <c r="C13" s="4">
        <f t="shared" si="0"/>
        <v>36.384347235043634</v>
      </c>
      <c r="E13" s="4">
        <f t="shared" si="1"/>
        <v>0</v>
      </c>
    </row>
    <row r="14" spans="1:5" x14ac:dyDescent="0.45">
      <c r="A14" s="1">
        <v>12</v>
      </c>
      <c r="B14" s="3">
        <v>0.3710932431673552</v>
      </c>
      <c r="C14" s="4">
        <f t="shared" si="0"/>
        <v>42.304629721078491</v>
      </c>
      <c r="E14" s="4">
        <f t="shared" si="1"/>
        <v>0</v>
      </c>
    </row>
    <row r="15" spans="1:5" x14ac:dyDescent="0.45">
      <c r="A15" s="1">
        <v>13</v>
      </c>
      <c r="B15" s="3">
        <v>0.39655650496602957</v>
      </c>
      <c r="C15" s="4">
        <f t="shared" si="0"/>
        <v>45.207441566127372</v>
      </c>
      <c r="E15" s="4">
        <f t="shared" si="1"/>
        <v>0</v>
      </c>
    </row>
    <row r="16" spans="1:5" x14ac:dyDescent="0.45">
      <c r="A16" s="1">
        <v>14</v>
      </c>
      <c r="B16" s="3">
        <v>0.41330376661630752</v>
      </c>
      <c r="C16" s="4">
        <f t="shared" si="0"/>
        <v>47.116629394259057</v>
      </c>
      <c r="E16" s="4">
        <f t="shared" si="1"/>
        <v>0</v>
      </c>
    </row>
    <row r="17" spans="1:5" x14ac:dyDescent="0.45">
      <c r="A17" s="1">
        <v>15</v>
      </c>
      <c r="B17" s="3">
        <v>0.44666423331010763</v>
      </c>
      <c r="C17" s="4">
        <f t="shared" si="0"/>
        <v>50.919722597352269</v>
      </c>
      <c r="E17" s="4">
        <f t="shared" si="1"/>
        <v>0</v>
      </c>
    </row>
    <row r="18" spans="1:5" x14ac:dyDescent="0.45">
      <c r="A18" s="1">
        <v>16</v>
      </c>
      <c r="B18" s="3">
        <v>0.46168480944179474</v>
      </c>
      <c r="C18" s="4">
        <f t="shared" si="0"/>
        <v>52.632068276364599</v>
      </c>
      <c r="E18" s="4">
        <f t="shared" si="1"/>
        <v>0</v>
      </c>
    </row>
    <row r="19" spans="1:5" x14ac:dyDescent="0.45">
      <c r="A19" s="1">
        <v>17</v>
      </c>
      <c r="B19" s="3">
        <v>0.50976876296310047</v>
      </c>
      <c r="C19" s="4">
        <f t="shared" si="0"/>
        <v>58.113638977793457</v>
      </c>
      <c r="E19" s="4">
        <f t="shared" si="1"/>
        <v>0</v>
      </c>
    </row>
    <row r="20" spans="1:5" x14ac:dyDescent="0.45">
      <c r="A20" s="1">
        <v>18</v>
      </c>
      <c r="B20" s="3">
        <v>0.53874801416457396</v>
      </c>
      <c r="C20" s="4">
        <f t="shared" si="0"/>
        <v>61.417273614761434</v>
      </c>
      <c r="E20" s="4">
        <f t="shared" si="1"/>
        <v>0</v>
      </c>
    </row>
    <row r="21" spans="1:5" x14ac:dyDescent="0.45">
      <c r="A21" s="1">
        <v>19</v>
      </c>
      <c r="B21" s="3">
        <v>0.57354402285616501</v>
      </c>
      <c r="C21" s="4">
        <f t="shared" si="0"/>
        <v>65.384018605602819</v>
      </c>
      <c r="E21" s="4">
        <f t="shared" si="1"/>
        <v>0</v>
      </c>
    </row>
    <row r="22" spans="1:5" x14ac:dyDescent="0.45">
      <c r="A22" s="1">
        <v>20</v>
      </c>
      <c r="B22" s="3">
        <v>0.590118708404618</v>
      </c>
      <c r="C22" s="4">
        <f t="shared" si="0"/>
        <v>67.27353275812645</v>
      </c>
      <c r="E22" s="4">
        <f t="shared" si="1"/>
        <v>0</v>
      </c>
    </row>
    <row r="23" spans="1:5" x14ac:dyDescent="0.45">
      <c r="A23" s="1">
        <v>21</v>
      </c>
      <c r="B23" s="3">
        <v>0.61219544963029537</v>
      </c>
      <c r="C23" s="4">
        <f t="shared" si="0"/>
        <v>69.790281257853678</v>
      </c>
      <c r="E23" s="4">
        <f t="shared" si="1"/>
        <v>0</v>
      </c>
    </row>
    <row r="24" spans="1:5" x14ac:dyDescent="0.45">
      <c r="A24" s="1">
        <v>22</v>
      </c>
      <c r="B24" s="3">
        <v>0.65080290206753511</v>
      </c>
      <c r="C24" s="4">
        <f t="shared" si="0"/>
        <v>74.191530835698998</v>
      </c>
      <c r="E24" s="4">
        <f t="shared" si="1"/>
        <v>0</v>
      </c>
    </row>
    <row r="25" spans="1:5" x14ac:dyDescent="0.45">
      <c r="A25" s="1">
        <v>23</v>
      </c>
      <c r="B25" s="3">
        <v>0.67591829101271117</v>
      </c>
      <c r="C25" s="4">
        <f t="shared" si="0"/>
        <v>77.05468517544908</v>
      </c>
      <c r="E25" s="4">
        <f t="shared" si="1"/>
        <v>0</v>
      </c>
    </row>
    <row r="26" spans="1:5" x14ac:dyDescent="0.45">
      <c r="A26" s="1">
        <v>24</v>
      </c>
      <c r="B26" s="3">
        <v>0.70496537561535133</v>
      </c>
      <c r="C26" s="4">
        <f t="shared" si="0"/>
        <v>80.366052820150045</v>
      </c>
      <c r="E26" s="4">
        <f t="shared" si="1"/>
        <v>0</v>
      </c>
    </row>
    <row r="27" spans="1:5" x14ac:dyDescent="0.45">
      <c r="A27" s="1">
        <v>25</v>
      </c>
      <c r="B27" s="3">
        <v>0.74848013909223288</v>
      </c>
      <c r="C27" s="4">
        <f t="shared" si="0"/>
        <v>85.326735856514546</v>
      </c>
      <c r="E27" s="4">
        <f t="shared" si="1"/>
        <v>0</v>
      </c>
    </row>
    <row r="28" spans="1:5" x14ac:dyDescent="0.45">
      <c r="A28" s="1">
        <v>26</v>
      </c>
      <c r="B28" s="3">
        <v>0.7883266528343289</v>
      </c>
      <c r="C28" s="4">
        <f t="shared" si="0"/>
        <v>89.869238423113501</v>
      </c>
      <c r="E28" s="4">
        <f t="shared" si="1"/>
        <v>0</v>
      </c>
    </row>
    <row r="29" spans="1:5" x14ac:dyDescent="0.45">
      <c r="A29" s="1">
        <v>27</v>
      </c>
      <c r="B29" s="3">
        <v>0.80291053847691751</v>
      </c>
      <c r="C29" s="4">
        <f t="shared" si="0"/>
        <v>91.531801386368599</v>
      </c>
      <c r="E29" s="4">
        <f t="shared" si="1"/>
        <v>0</v>
      </c>
    </row>
    <row r="30" spans="1:5" x14ac:dyDescent="0.45">
      <c r="A30" s="1">
        <v>28</v>
      </c>
      <c r="B30" s="3">
        <v>0.83265548488853058</v>
      </c>
      <c r="C30" s="4">
        <f t="shared" si="0"/>
        <v>94.922725277292486</v>
      </c>
      <c r="E30" s="4">
        <f t="shared" si="1"/>
        <v>0</v>
      </c>
    </row>
    <row r="31" spans="1:5" x14ac:dyDescent="0.45">
      <c r="A31" s="1">
        <v>29</v>
      </c>
      <c r="B31" s="3">
        <v>0.87651827139422922</v>
      </c>
      <c r="C31" s="4">
        <f t="shared" si="0"/>
        <v>99.92308293894213</v>
      </c>
      <c r="E31" s="4">
        <f t="shared" si="1"/>
        <v>0</v>
      </c>
    </row>
    <row r="32" spans="1:5" x14ac:dyDescent="0.45">
      <c r="A32" s="1">
        <v>30</v>
      </c>
      <c r="B32" s="3">
        <v>0.9449023258302931</v>
      </c>
      <c r="C32" s="4">
        <f t="shared" si="0"/>
        <v>107.71886514465341</v>
      </c>
      <c r="E32" s="4">
        <f t="shared" si="1"/>
        <v>0</v>
      </c>
    </row>
    <row r="33" spans="1:5" x14ac:dyDescent="0.45">
      <c r="A33" s="1">
        <v>31</v>
      </c>
      <c r="B33" s="3">
        <v>1</v>
      </c>
      <c r="C33" s="4">
        <f t="shared" si="0"/>
        <v>114</v>
      </c>
      <c r="E33" s="4">
        <f t="shared" si="1"/>
        <v>0</v>
      </c>
    </row>
  </sheetData>
  <conditionalFormatting sqref="A3:A33">
    <cfRule type="expression" dxfId="1" priority="1">
      <formula>$A3=$B$112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516D-DB2D-4859-B61B-1A68D75109AA}">
  <dimension ref="A1:E33"/>
  <sheetViews>
    <sheetView tabSelected="1" topLeftCell="A8" workbookViewId="0">
      <selection activeCell="A2" sqref="A2:B33"/>
    </sheetView>
  </sheetViews>
  <sheetFormatPr baseColWidth="10" defaultRowHeight="14.25" x14ac:dyDescent="0.45"/>
  <cols>
    <col min="1" max="1" width="15.19921875" bestFit="1" customWidth="1"/>
    <col min="2" max="2" width="21.86328125" bestFit="1" customWidth="1"/>
    <col min="3" max="3" width="11.46484375" style="4" bestFit="1" customWidth="1"/>
    <col min="5" max="5" width="12.19921875" bestFit="1" customWidth="1"/>
  </cols>
  <sheetData>
    <row r="1" spans="1:5" x14ac:dyDescent="0.45">
      <c r="A1" t="s">
        <v>2</v>
      </c>
      <c r="B1" s="4">
        <v>199791000</v>
      </c>
    </row>
    <row r="2" spans="1:5" x14ac:dyDescent="0.45">
      <c r="A2" s="2" t="s">
        <v>7</v>
      </c>
      <c r="B2" s="2" t="s">
        <v>1</v>
      </c>
      <c r="C2" s="2" t="s">
        <v>3</v>
      </c>
      <c r="D2" s="2" t="s">
        <v>4</v>
      </c>
      <c r="E2" s="2" t="s">
        <v>5</v>
      </c>
    </row>
    <row r="3" spans="1:5" x14ac:dyDescent="0.45">
      <c r="A3" s="1">
        <v>1</v>
      </c>
      <c r="B3" s="3">
        <v>3.6956290771551811E-2</v>
      </c>
      <c r="C3" s="4">
        <f>+$B$1*B3</f>
        <v>7383534.2895391081</v>
      </c>
      <c r="D3" s="4"/>
      <c r="E3" s="4">
        <f>+($B$1*(D3*$B$33)/C3)</f>
        <v>0</v>
      </c>
    </row>
    <row r="4" spans="1:5" x14ac:dyDescent="0.45">
      <c r="A4" s="1">
        <v>2</v>
      </c>
      <c r="B4" s="3">
        <v>7.0730541212468925E-2</v>
      </c>
      <c r="C4" s="4">
        <f t="shared" ref="C4:C33" si="0">+$B$1*B4</f>
        <v>14131325.559380379</v>
      </c>
      <c r="E4" s="4">
        <f t="shared" ref="E4:E33" si="1">+($B$1*(D4*$B$33)/C4)</f>
        <v>0</v>
      </c>
    </row>
    <row r="5" spans="1:5" x14ac:dyDescent="0.45">
      <c r="A5" s="1">
        <v>3</v>
      </c>
      <c r="B5" s="3">
        <v>0.10384163815335309</v>
      </c>
      <c r="C5" s="4">
        <f t="shared" si="0"/>
        <v>20746624.728296567</v>
      </c>
      <c r="E5" s="4">
        <f t="shared" si="1"/>
        <v>0</v>
      </c>
    </row>
    <row r="6" spans="1:5" x14ac:dyDescent="0.45">
      <c r="A6" s="1">
        <v>4</v>
      </c>
      <c r="B6" s="3">
        <v>0.13186797473732448</v>
      </c>
      <c r="C6" s="4">
        <f t="shared" si="0"/>
        <v>26346034.540744796</v>
      </c>
      <c r="E6" s="4">
        <f t="shared" si="1"/>
        <v>0</v>
      </c>
    </row>
    <row r="7" spans="1:5" x14ac:dyDescent="0.45">
      <c r="A7" s="1">
        <v>5</v>
      </c>
      <c r="B7" s="3">
        <v>0.15931174916905069</v>
      </c>
      <c r="C7" s="4">
        <f t="shared" si="0"/>
        <v>31829053.678233806</v>
      </c>
      <c r="E7" s="4">
        <f t="shared" si="1"/>
        <v>0</v>
      </c>
    </row>
    <row r="8" spans="1:5" x14ac:dyDescent="0.45">
      <c r="A8" s="1">
        <v>6</v>
      </c>
      <c r="B8" s="3">
        <v>0.17339439912854135</v>
      </c>
      <c r="C8" s="4">
        <f t="shared" si="0"/>
        <v>34642640.396290407</v>
      </c>
      <c r="E8" s="4">
        <f t="shared" si="1"/>
        <v>0</v>
      </c>
    </row>
    <row r="9" spans="1:5" x14ac:dyDescent="0.45">
      <c r="A9" s="1">
        <v>7</v>
      </c>
      <c r="B9" s="3">
        <v>0.19953407243133525</v>
      </c>
      <c r="C9" s="4">
        <f t="shared" si="0"/>
        <v>39865111.865128905</v>
      </c>
      <c r="E9" s="4">
        <f t="shared" si="1"/>
        <v>0</v>
      </c>
    </row>
    <row r="10" spans="1:5" x14ac:dyDescent="0.45">
      <c r="A10" s="1">
        <v>8</v>
      </c>
      <c r="B10" s="3">
        <v>0.21212741552113223</v>
      </c>
      <c r="C10" s="4">
        <f t="shared" si="0"/>
        <v>42381148.474382527</v>
      </c>
      <c r="E10" s="4">
        <f t="shared" si="1"/>
        <v>0</v>
      </c>
    </row>
    <row r="11" spans="1:5" x14ac:dyDescent="0.45">
      <c r="A11" s="1">
        <v>9</v>
      </c>
      <c r="B11" s="3">
        <v>0.25241833902718575</v>
      </c>
      <c r="C11" s="4">
        <f t="shared" si="0"/>
        <v>50430912.372580469</v>
      </c>
      <c r="E11" s="4">
        <f t="shared" si="1"/>
        <v>0</v>
      </c>
    </row>
    <row r="12" spans="1:5" x14ac:dyDescent="0.45">
      <c r="A12" s="1">
        <v>10</v>
      </c>
      <c r="B12" s="3">
        <v>0.28858519729806292</v>
      </c>
      <c r="C12" s="4">
        <f t="shared" si="0"/>
        <v>57656725.153377287</v>
      </c>
      <c r="E12" s="4">
        <f t="shared" si="1"/>
        <v>0</v>
      </c>
    </row>
    <row r="13" spans="1:5" x14ac:dyDescent="0.45">
      <c r="A13" s="1">
        <v>11</v>
      </c>
      <c r="B13" s="3">
        <v>0.31916094065827749</v>
      </c>
      <c r="C13" s="4">
        <f t="shared" si="0"/>
        <v>63765483.495057918</v>
      </c>
      <c r="E13" s="4">
        <f t="shared" si="1"/>
        <v>0</v>
      </c>
    </row>
    <row r="14" spans="1:5" x14ac:dyDescent="0.45">
      <c r="A14" s="1">
        <v>12</v>
      </c>
      <c r="B14" s="3">
        <v>0.3710932431673552</v>
      </c>
      <c r="C14" s="4">
        <f t="shared" si="0"/>
        <v>74141090.145649061</v>
      </c>
      <c r="E14" s="4">
        <f t="shared" si="1"/>
        <v>0</v>
      </c>
    </row>
    <row r="15" spans="1:5" x14ac:dyDescent="0.45">
      <c r="A15" s="1">
        <v>13</v>
      </c>
      <c r="B15" s="3">
        <v>0.39655650496602957</v>
      </c>
      <c r="C15" s="4">
        <f t="shared" si="0"/>
        <v>79228420.683668017</v>
      </c>
      <c r="E15" s="4">
        <f t="shared" si="1"/>
        <v>0</v>
      </c>
    </row>
    <row r="16" spans="1:5" x14ac:dyDescent="0.45">
      <c r="A16" s="1">
        <v>14</v>
      </c>
      <c r="B16" s="3">
        <v>0.41330376661630752</v>
      </c>
      <c r="C16" s="4">
        <f t="shared" si="0"/>
        <v>82574372.836038694</v>
      </c>
      <c r="E16" s="4">
        <f t="shared" si="1"/>
        <v>0</v>
      </c>
    </row>
    <row r="17" spans="1:5" x14ac:dyDescent="0.45">
      <c r="A17" s="1">
        <v>15</v>
      </c>
      <c r="B17" s="3">
        <v>0.44666423331010763</v>
      </c>
      <c r="C17" s="4">
        <f t="shared" si="0"/>
        <v>89239493.83725971</v>
      </c>
      <c r="E17" s="4">
        <f t="shared" si="1"/>
        <v>0</v>
      </c>
    </row>
    <row r="18" spans="1:5" x14ac:dyDescent="0.45">
      <c r="A18" s="1">
        <v>16</v>
      </c>
      <c r="B18" s="3">
        <v>0.46168480944179474</v>
      </c>
      <c r="C18" s="4">
        <f t="shared" si="0"/>
        <v>92240469.76318562</v>
      </c>
      <c r="E18" s="4">
        <f t="shared" si="1"/>
        <v>0</v>
      </c>
    </row>
    <row r="19" spans="1:5" x14ac:dyDescent="0.45">
      <c r="A19" s="1">
        <v>17</v>
      </c>
      <c r="B19" s="3">
        <v>0.50976876296310047</v>
      </c>
      <c r="C19" s="4">
        <f t="shared" si="0"/>
        <v>101847210.9211608</v>
      </c>
      <c r="E19" s="4">
        <f t="shared" si="1"/>
        <v>0</v>
      </c>
    </row>
    <row r="20" spans="1:5" x14ac:dyDescent="0.45">
      <c r="A20" s="1">
        <v>18</v>
      </c>
      <c r="B20" s="3">
        <v>0.53874801416457396</v>
      </c>
      <c r="C20" s="4">
        <f t="shared" si="0"/>
        <v>107637004.4979544</v>
      </c>
      <c r="E20" s="4">
        <f t="shared" si="1"/>
        <v>0</v>
      </c>
    </row>
    <row r="21" spans="1:5" x14ac:dyDescent="0.45">
      <c r="A21" s="1">
        <v>19</v>
      </c>
      <c r="B21" s="3">
        <v>0.57354402285616501</v>
      </c>
      <c r="C21" s="4">
        <f t="shared" si="0"/>
        <v>114588933.87045607</v>
      </c>
      <c r="E21" s="4">
        <f t="shared" si="1"/>
        <v>0</v>
      </c>
    </row>
    <row r="22" spans="1:5" x14ac:dyDescent="0.45">
      <c r="A22" s="1">
        <v>20</v>
      </c>
      <c r="B22" s="3">
        <v>0.590118708404618</v>
      </c>
      <c r="C22" s="4">
        <f t="shared" si="0"/>
        <v>117900406.87086703</v>
      </c>
      <c r="E22" s="4">
        <f t="shared" si="1"/>
        <v>0</v>
      </c>
    </row>
    <row r="23" spans="1:5" x14ac:dyDescent="0.45">
      <c r="A23" s="1">
        <v>21</v>
      </c>
      <c r="B23" s="3">
        <v>0.61219544963029537</v>
      </c>
      <c r="C23" s="4">
        <f t="shared" si="0"/>
        <v>122311141.07708634</v>
      </c>
      <c r="E23" s="4">
        <f t="shared" si="1"/>
        <v>0</v>
      </c>
    </row>
    <row r="24" spans="1:5" x14ac:dyDescent="0.45">
      <c r="A24" s="1">
        <v>22</v>
      </c>
      <c r="B24" s="3">
        <v>0.65080290206753511</v>
      </c>
      <c r="C24" s="4">
        <f t="shared" si="0"/>
        <v>130024562.6069749</v>
      </c>
      <c r="E24" s="4">
        <f t="shared" si="1"/>
        <v>0</v>
      </c>
    </row>
    <row r="25" spans="1:5" x14ac:dyDescent="0.45">
      <c r="A25" s="1">
        <v>23</v>
      </c>
      <c r="B25" s="3">
        <v>0.67591829101271117</v>
      </c>
      <c r="C25" s="4">
        <f t="shared" si="0"/>
        <v>135042391.27972057</v>
      </c>
      <c r="E25" s="4">
        <f t="shared" si="1"/>
        <v>0</v>
      </c>
    </row>
    <row r="26" spans="1:5" x14ac:dyDescent="0.45">
      <c r="A26" s="1">
        <v>24</v>
      </c>
      <c r="B26" s="3">
        <v>0.70496537561535133</v>
      </c>
      <c r="C26" s="4">
        <f t="shared" si="0"/>
        <v>140845737.35956666</v>
      </c>
      <c r="E26" s="4">
        <f t="shared" si="1"/>
        <v>0</v>
      </c>
    </row>
    <row r="27" spans="1:5" x14ac:dyDescent="0.45">
      <c r="A27" s="1">
        <v>25</v>
      </c>
      <c r="B27" s="3">
        <v>0.74848013909223288</v>
      </c>
      <c r="C27" s="4">
        <f t="shared" si="0"/>
        <v>149539595.4693763</v>
      </c>
      <c r="E27" s="4">
        <f t="shared" si="1"/>
        <v>0</v>
      </c>
    </row>
    <row r="28" spans="1:5" x14ac:dyDescent="0.45">
      <c r="A28" s="1">
        <v>26</v>
      </c>
      <c r="B28" s="3">
        <v>0.7883266528343289</v>
      </c>
      <c r="C28" s="4">
        <f t="shared" si="0"/>
        <v>157500570.29642341</v>
      </c>
      <c r="E28" s="4">
        <f t="shared" si="1"/>
        <v>0</v>
      </c>
    </row>
    <row r="29" spans="1:5" x14ac:dyDescent="0.45">
      <c r="A29" s="1">
        <v>27</v>
      </c>
      <c r="B29" s="3">
        <v>0.80291053847691751</v>
      </c>
      <c r="C29" s="4">
        <f t="shared" si="0"/>
        <v>160414299.39284182</v>
      </c>
      <c r="E29" s="4">
        <f t="shared" si="1"/>
        <v>0</v>
      </c>
    </row>
    <row r="30" spans="1:5" x14ac:dyDescent="0.45">
      <c r="A30" s="1">
        <v>28</v>
      </c>
      <c r="B30" s="3">
        <v>0.83265548488853058</v>
      </c>
      <c r="C30" s="4">
        <f t="shared" si="0"/>
        <v>166357071.9813644</v>
      </c>
      <c r="E30" s="4">
        <f t="shared" si="1"/>
        <v>0</v>
      </c>
    </row>
    <row r="31" spans="1:5" x14ac:dyDescent="0.45">
      <c r="A31" s="1">
        <v>29</v>
      </c>
      <c r="B31" s="3">
        <v>0.87651827139422922</v>
      </c>
      <c r="C31" s="4">
        <f t="shared" si="0"/>
        <v>175120461.96012446</v>
      </c>
      <c r="E31" s="4">
        <f t="shared" si="1"/>
        <v>0</v>
      </c>
    </row>
    <row r="32" spans="1:5" x14ac:dyDescent="0.45">
      <c r="A32" s="1">
        <v>30</v>
      </c>
      <c r="B32" s="3">
        <v>0.9449023258302931</v>
      </c>
      <c r="C32" s="4">
        <f t="shared" si="0"/>
        <v>188782980.57996008</v>
      </c>
      <c r="E32" s="4">
        <f t="shared" si="1"/>
        <v>0</v>
      </c>
    </row>
    <row r="33" spans="1:5" x14ac:dyDescent="0.45">
      <c r="A33" s="1">
        <v>31</v>
      </c>
      <c r="B33" s="3">
        <v>1</v>
      </c>
      <c r="C33" s="4">
        <f t="shared" si="0"/>
        <v>199791000</v>
      </c>
      <c r="E33" s="4">
        <f t="shared" si="1"/>
        <v>0</v>
      </c>
    </row>
  </sheetData>
  <conditionalFormatting sqref="A3:A33">
    <cfRule type="expression" dxfId="0" priority="1">
      <formula>$A3=$B$112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Proyeccion Venta Diaria Q</vt:lpstr>
      <vt:lpstr>Proyeccion venta diaria 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Ricardo A. Ramirez G.</cp:lastModifiedBy>
  <dcterms:created xsi:type="dcterms:W3CDTF">2026-03-16T15:16:09Z</dcterms:created>
  <dcterms:modified xsi:type="dcterms:W3CDTF">2026-03-18T20:26:06Z</dcterms:modified>
</cp:coreProperties>
</file>