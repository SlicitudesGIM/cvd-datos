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unerariaimchile-my.sharepoint.com/personal/anais_gonzalez_funerariaim_cl/Documents/Dashboard_Control Diario de Ventas/Archivos de Mes/ABRIL/"/>
    </mc:Choice>
  </mc:AlternateContent>
  <xr:revisionPtr revIDLastSave="11" documentId="8_{B0D40A13-F561-4D6A-B9A0-4DDA76574C64}" xr6:coauthVersionLast="47" xr6:coauthVersionMax="47" xr10:uidLastSave="{F0A36B42-D081-4CFE-BF28-F3D176D06970}"/>
  <bookViews>
    <workbookView xWindow="-108" yWindow="-108" windowWidth="23256" windowHeight="12456" activeTab="1" xr2:uid="{97D2A031-07BF-4B71-BC0E-1411959519BA}"/>
  </bookViews>
  <sheets>
    <sheet name="Proyeccion Venta Diaria Q" sheetId="2" r:id="rId1"/>
    <sheet name="Proyeccion venta diaria $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2" l="1"/>
  <c r="E33" i="2" s="1"/>
  <c r="C30" i="2"/>
  <c r="E30" i="2" s="1"/>
  <c r="C26" i="2"/>
  <c r="E26" i="2" s="1"/>
  <c r="C22" i="2"/>
  <c r="E22" i="2" s="1"/>
  <c r="C18" i="2"/>
  <c r="E18" i="2" s="1"/>
  <c r="C14" i="2"/>
  <c r="E14" i="2" s="1"/>
  <c r="C10" i="2"/>
  <c r="E10" i="2" s="1"/>
  <c r="C6" i="2"/>
  <c r="E6" i="2" s="1"/>
  <c r="C32" i="2"/>
  <c r="E32" i="2" s="1"/>
  <c r="C31" i="2"/>
  <c r="E31" i="2" s="1"/>
  <c r="C29" i="2"/>
  <c r="E29" i="2" s="1"/>
  <c r="C28" i="2"/>
  <c r="E28" i="2" s="1"/>
  <c r="C27" i="2"/>
  <c r="E27" i="2" s="1"/>
  <c r="C25" i="2"/>
  <c r="E25" i="2" s="1"/>
  <c r="C24" i="2"/>
  <c r="E24" i="2" s="1"/>
  <c r="C23" i="2"/>
  <c r="E23" i="2" s="1"/>
  <c r="C21" i="2"/>
  <c r="E21" i="2" s="1"/>
  <c r="C20" i="2"/>
  <c r="E20" i="2" s="1"/>
  <c r="C19" i="2"/>
  <c r="E19" i="2" s="1"/>
  <c r="C17" i="2"/>
  <c r="E17" i="2" s="1"/>
  <c r="C16" i="2"/>
  <c r="E16" i="2" s="1"/>
  <c r="C15" i="2"/>
  <c r="E15" i="2" s="1"/>
  <c r="C13" i="2"/>
  <c r="E13" i="2" s="1"/>
  <c r="C12" i="2"/>
  <c r="E12" i="2" s="1"/>
  <c r="C11" i="2"/>
  <c r="E11" i="2" s="1"/>
  <c r="C9" i="2"/>
  <c r="E9" i="2" s="1"/>
  <c r="C8" i="2"/>
  <c r="E8" i="2" s="1"/>
  <c r="C7" i="2"/>
  <c r="E7" i="2" s="1"/>
  <c r="C5" i="2"/>
  <c r="E5" i="2" s="1"/>
  <c r="C4" i="2"/>
  <c r="E4" i="2" s="1"/>
  <c r="C3" i="2"/>
  <c r="E3" i="2" s="1"/>
  <c r="C33" i="1"/>
  <c r="E33" i="1" s="1"/>
  <c r="C32" i="1"/>
  <c r="E32" i="1" s="1"/>
  <c r="C31" i="1"/>
  <c r="E31" i="1" s="1"/>
  <c r="C30" i="1"/>
  <c r="E30" i="1" s="1"/>
  <c r="C29" i="1"/>
  <c r="E29" i="1" s="1"/>
  <c r="C28" i="1"/>
  <c r="E28" i="1" s="1"/>
  <c r="C27" i="1"/>
  <c r="E27" i="1" s="1"/>
  <c r="C26" i="1"/>
  <c r="E26" i="1" s="1"/>
  <c r="C25" i="1"/>
  <c r="E25" i="1" s="1"/>
  <c r="C24" i="1"/>
  <c r="E24" i="1" s="1"/>
  <c r="C23" i="1"/>
  <c r="E23" i="1" s="1"/>
  <c r="C22" i="1"/>
  <c r="E22" i="1" s="1"/>
  <c r="C21" i="1"/>
  <c r="E21" i="1" s="1"/>
  <c r="C20" i="1"/>
  <c r="E20" i="1" s="1"/>
  <c r="C19" i="1"/>
  <c r="E19" i="1" s="1"/>
  <c r="C18" i="1"/>
  <c r="E18" i="1" s="1"/>
  <c r="C17" i="1"/>
  <c r="E17" i="1" s="1"/>
  <c r="C16" i="1"/>
  <c r="E16" i="1" s="1"/>
  <c r="C15" i="1"/>
  <c r="E15" i="1" s="1"/>
  <c r="C14" i="1"/>
  <c r="E14" i="1" s="1"/>
  <c r="C13" i="1"/>
  <c r="E13" i="1" s="1"/>
  <c r="C12" i="1"/>
  <c r="E12" i="1" s="1"/>
  <c r="C11" i="1"/>
  <c r="E11" i="1" s="1"/>
  <c r="C10" i="1"/>
  <c r="E10" i="1" s="1"/>
  <c r="C9" i="1"/>
  <c r="E9" i="1" s="1"/>
  <c r="C8" i="1"/>
  <c r="E8" i="1" s="1"/>
  <c r="C7" i="1"/>
  <c r="E7" i="1" s="1"/>
  <c r="C6" i="1"/>
  <c r="E6" i="1" s="1"/>
  <c r="C5" i="1"/>
  <c r="E5" i="1" s="1"/>
  <c r="C4" i="1"/>
  <c r="E4" i="1" s="1"/>
  <c r="C3" i="1"/>
  <c r="E3" i="1" s="1"/>
</calcChain>
</file>

<file path=xl/sharedStrings.xml><?xml version="1.0" encoding="utf-8"?>
<sst xmlns="http://schemas.openxmlformats.org/spreadsheetml/2006/main" count="12" uniqueCount="8">
  <si>
    <t>Dias</t>
  </si>
  <si>
    <t>Porcentaje de Meta por dia</t>
  </si>
  <si>
    <t>Meta Total del mes</t>
  </si>
  <si>
    <t>Meta Diaria</t>
  </si>
  <si>
    <t>Venta Real</t>
  </si>
  <si>
    <t>Proyeccion</t>
  </si>
  <si>
    <t>Meta Total del mes en Contratos</t>
  </si>
  <si>
    <t>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</si>
</sst>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1" applyNumberFormat="1" applyFont="1"/>
    <xf numFmtId="164" fontId="0" fillId="0" borderId="0" xfId="2" applyFont="1"/>
  </cellXfs>
  <cellStyles count="3">
    <cellStyle name="Millares [0]" xfId="2" builtinId="6"/>
    <cellStyle name="Normal" xfId="0" builtinId="0"/>
    <cellStyle name="Porcentaje" xfId="1" builtinId="5"/>
  </cellStyles>
  <dxfs count="2">
    <dxf>
      <font>
        <b/>
        <i val="0"/>
      </font>
      <fill>
        <patternFill patternType="solid">
          <fgColor indexed="64"/>
          <bgColor rgb="FFBDD7EE"/>
        </patternFill>
      </fill>
    </dxf>
    <dxf>
      <font>
        <b/>
        <i val="0"/>
      </font>
      <fill>
        <patternFill patternType="solid">
          <fgColor indexed="64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A9B2-21D4-4B0E-BEC1-20DEACA014A6}">
  <dimension ref="A1:E33"/>
  <sheetViews>
    <sheetView workbookViewId="0">
      <selection activeCell="B1" sqref="B1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1.44140625" style="4" bestFit="1" customWidth="1"/>
    <col min="5" max="5" width="12.21875" bestFit="1" customWidth="1"/>
  </cols>
  <sheetData>
    <row r="1" spans="1:5" x14ac:dyDescent="0.3">
      <c r="A1" t="s">
        <v>6</v>
      </c>
      <c r="B1" s="4">
        <v>152</v>
      </c>
    </row>
    <row r="2" spans="1:5" x14ac:dyDescent="0.3">
      <c r="A2" s="2" t="s">
        <v>0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2.5350997619452881E-2</v>
      </c>
      <c r="C3" s="4">
        <f>+$B$1*B3</f>
        <v>3.853351638156838</v>
      </c>
      <c r="D3" s="4"/>
      <c r="E3" s="4">
        <f>+($B$1*(D3*$B$33)/C3)</f>
        <v>0</v>
      </c>
    </row>
    <row r="4" spans="1:5" x14ac:dyDescent="0.3">
      <c r="A4" s="1">
        <v>2</v>
      </c>
      <c r="B4" s="3">
        <v>5.2547401190426904E-2</v>
      </c>
      <c r="C4" s="4">
        <f t="shared" ref="C4:C33" si="0">+$B$1*B4</f>
        <v>7.9872049809448891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7.7694014952965212E-2</v>
      </c>
      <c r="C5" s="4">
        <f t="shared" si="0"/>
        <v>11.809490272850713</v>
      </c>
      <c r="E5" s="4">
        <f t="shared" si="1"/>
        <v>0</v>
      </c>
    </row>
    <row r="6" spans="1:5" x14ac:dyDescent="0.3">
      <c r="A6" s="1">
        <v>4</v>
      </c>
      <c r="B6" s="3">
        <v>9.858003547862787E-2</v>
      </c>
      <c r="C6" s="4">
        <f t="shared" si="0"/>
        <v>14.984165392751436</v>
      </c>
      <c r="E6" s="4">
        <f t="shared" si="1"/>
        <v>0</v>
      </c>
    </row>
    <row r="7" spans="1:5" x14ac:dyDescent="0.3">
      <c r="A7" s="1">
        <v>5</v>
      </c>
      <c r="B7" s="3">
        <v>0.11917477492816796</v>
      </c>
      <c r="C7" s="4">
        <f t="shared" si="0"/>
        <v>18.114565789081528</v>
      </c>
      <c r="E7" s="4">
        <f t="shared" si="1"/>
        <v>0</v>
      </c>
    </row>
    <row r="8" spans="1:5" x14ac:dyDescent="0.3">
      <c r="A8" s="1">
        <v>6</v>
      </c>
      <c r="B8" s="3">
        <v>0.15714393495945966</v>
      </c>
      <c r="C8" s="4">
        <f t="shared" si="0"/>
        <v>23.885878113837869</v>
      </c>
      <c r="E8" s="4">
        <f t="shared" si="1"/>
        <v>0</v>
      </c>
    </row>
    <row r="9" spans="1:5" x14ac:dyDescent="0.3">
      <c r="A9" s="1">
        <v>7</v>
      </c>
      <c r="B9" s="3">
        <v>0.18567768913662983</v>
      </c>
      <c r="C9" s="4">
        <f t="shared" si="0"/>
        <v>28.223008748767732</v>
      </c>
      <c r="E9" s="4">
        <f t="shared" si="1"/>
        <v>0</v>
      </c>
    </row>
    <row r="10" spans="1:5" x14ac:dyDescent="0.3">
      <c r="A10" s="1">
        <v>8</v>
      </c>
      <c r="B10" s="3">
        <v>0.20572006514888228</v>
      </c>
      <c r="C10" s="4">
        <f t="shared" si="0"/>
        <v>31.269449902630107</v>
      </c>
      <c r="E10" s="4">
        <f t="shared" si="1"/>
        <v>0</v>
      </c>
    </row>
    <row r="11" spans="1:5" x14ac:dyDescent="0.3">
      <c r="A11" s="1">
        <v>9</v>
      </c>
      <c r="B11" s="3">
        <v>0.24992050971977844</v>
      </c>
      <c r="C11" s="4">
        <f t="shared" si="0"/>
        <v>37.98791747740632</v>
      </c>
      <c r="E11" s="4">
        <f t="shared" si="1"/>
        <v>0</v>
      </c>
    </row>
    <row r="12" spans="1:5" x14ac:dyDescent="0.3">
      <c r="A12" s="1">
        <v>10</v>
      </c>
      <c r="B12" s="3">
        <v>0.28174964332257102</v>
      </c>
      <c r="C12" s="4">
        <f t="shared" si="0"/>
        <v>42.825945785030797</v>
      </c>
      <c r="E12" s="4">
        <f t="shared" si="1"/>
        <v>0</v>
      </c>
    </row>
    <row r="13" spans="1:5" x14ac:dyDescent="0.3">
      <c r="A13" s="1">
        <v>11</v>
      </c>
      <c r="B13" s="3">
        <v>0.31250143252845147</v>
      </c>
      <c r="C13" s="4">
        <f t="shared" si="0"/>
        <v>47.500217744324623</v>
      </c>
      <c r="E13" s="4">
        <f t="shared" si="1"/>
        <v>0</v>
      </c>
    </row>
    <row r="14" spans="1:5" x14ac:dyDescent="0.3">
      <c r="A14" s="1">
        <v>12</v>
      </c>
      <c r="B14" s="3">
        <v>0.3539315013087635</v>
      </c>
      <c r="C14" s="4">
        <f t="shared" si="0"/>
        <v>53.797588198932054</v>
      </c>
      <c r="E14" s="4">
        <f t="shared" si="1"/>
        <v>0</v>
      </c>
    </row>
    <row r="15" spans="1:5" x14ac:dyDescent="0.3">
      <c r="A15" s="1">
        <v>13</v>
      </c>
      <c r="B15" s="3">
        <v>0.38040883667545466</v>
      </c>
      <c r="C15" s="4">
        <f t="shared" si="0"/>
        <v>57.822143174669108</v>
      </c>
      <c r="E15" s="4">
        <f t="shared" si="1"/>
        <v>0</v>
      </c>
    </row>
    <row r="16" spans="1:5" x14ac:dyDescent="0.3">
      <c r="A16" s="1">
        <v>14</v>
      </c>
      <c r="B16" s="3">
        <v>0.4025281719679476</v>
      </c>
      <c r="C16" s="4">
        <f t="shared" si="0"/>
        <v>61.184282139128037</v>
      </c>
      <c r="E16" s="4">
        <f t="shared" si="1"/>
        <v>0</v>
      </c>
    </row>
    <row r="17" spans="1:5" x14ac:dyDescent="0.3">
      <c r="A17" s="1">
        <v>15</v>
      </c>
      <c r="B17" s="3">
        <v>0.43295410978220161</v>
      </c>
      <c r="C17" s="4">
        <f t="shared" si="0"/>
        <v>65.809024686894645</v>
      </c>
      <c r="E17" s="4">
        <f t="shared" si="1"/>
        <v>0</v>
      </c>
    </row>
    <row r="18" spans="1:5" x14ac:dyDescent="0.3">
      <c r="A18" s="1">
        <v>16</v>
      </c>
      <c r="B18" s="3">
        <v>0.45249188925697992</v>
      </c>
      <c r="C18" s="4">
        <f t="shared" si="0"/>
        <v>68.778767167060948</v>
      </c>
      <c r="E18" s="4">
        <f t="shared" si="1"/>
        <v>0</v>
      </c>
    </row>
    <row r="19" spans="1:5" x14ac:dyDescent="0.3">
      <c r="A19" s="1">
        <v>17</v>
      </c>
      <c r="B19" s="3">
        <v>0.50402527495234062</v>
      </c>
      <c r="C19" s="4">
        <f t="shared" si="0"/>
        <v>76.611841792755769</v>
      </c>
      <c r="E19" s="4">
        <f t="shared" si="1"/>
        <v>0</v>
      </c>
    </row>
    <row r="20" spans="1:5" x14ac:dyDescent="0.3">
      <c r="A20" s="1">
        <v>18</v>
      </c>
      <c r="B20" s="3">
        <v>0.53569703113726985</v>
      </c>
      <c r="C20" s="4">
        <f t="shared" si="0"/>
        <v>81.425948732865024</v>
      </c>
      <c r="E20" s="4">
        <f t="shared" si="1"/>
        <v>0</v>
      </c>
    </row>
    <row r="21" spans="1:5" x14ac:dyDescent="0.3">
      <c r="A21" s="1">
        <v>19</v>
      </c>
      <c r="B21" s="3">
        <v>0.56512252689200015</v>
      </c>
      <c r="C21" s="4">
        <f t="shared" si="0"/>
        <v>85.898624087584025</v>
      </c>
      <c r="E21" s="4">
        <f t="shared" si="1"/>
        <v>0</v>
      </c>
    </row>
    <row r="22" spans="1:5" x14ac:dyDescent="0.3">
      <c r="A22" s="1">
        <v>20</v>
      </c>
      <c r="B22" s="3">
        <v>0.59746485248409598</v>
      </c>
      <c r="C22" s="4">
        <f t="shared" si="0"/>
        <v>90.814657577582594</v>
      </c>
      <c r="E22" s="4">
        <f t="shared" si="1"/>
        <v>0</v>
      </c>
    </row>
    <row r="23" spans="1:5" x14ac:dyDescent="0.3">
      <c r="A23" s="1">
        <v>21</v>
      </c>
      <c r="B23" s="3">
        <v>0.62740356673954634</v>
      </c>
      <c r="C23" s="4">
        <f t="shared" si="0"/>
        <v>95.365342144411045</v>
      </c>
      <c r="E23" s="4">
        <f t="shared" si="1"/>
        <v>0</v>
      </c>
    </row>
    <row r="24" spans="1:5" x14ac:dyDescent="0.3">
      <c r="A24" s="1">
        <v>22</v>
      </c>
      <c r="B24" s="3">
        <v>0.65873478436710098</v>
      </c>
      <c r="C24" s="4">
        <f t="shared" si="0"/>
        <v>100.12768722379934</v>
      </c>
      <c r="E24" s="4">
        <f t="shared" si="1"/>
        <v>0</v>
      </c>
    </row>
    <row r="25" spans="1:5" x14ac:dyDescent="0.3">
      <c r="A25" s="1">
        <v>23</v>
      </c>
      <c r="B25" s="3">
        <v>0.6936292485991391</v>
      </c>
      <c r="C25" s="4">
        <f t="shared" si="0"/>
        <v>105.43164578706914</v>
      </c>
      <c r="E25" s="4">
        <f t="shared" si="1"/>
        <v>0</v>
      </c>
    </row>
    <row r="26" spans="1:5" x14ac:dyDescent="0.3">
      <c r="A26" s="1">
        <v>24</v>
      </c>
      <c r="B26" s="3">
        <v>0.73048956065990933</v>
      </c>
      <c r="C26" s="4">
        <f t="shared" si="0"/>
        <v>111.03441322030622</v>
      </c>
      <c r="E26" s="4">
        <f t="shared" si="1"/>
        <v>0</v>
      </c>
    </row>
    <row r="27" spans="1:5" x14ac:dyDescent="0.3">
      <c r="A27" s="1">
        <v>25</v>
      </c>
      <c r="B27" s="3">
        <v>0.75740158157360793</v>
      </c>
      <c r="C27" s="4">
        <f t="shared" si="0"/>
        <v>115.12504039918841</v>
      </c>
      <c r="E27" s="4">
        <f t="shared" si="1"/>
        <v>0</v>
      </c>
    </row>
    <row r="28" spans="1:5" x14ac:dyDescent="0.3">
      <c r="A28" s="1">
        <v>26</v>
      </c>
      <c r="B28" s="3">
        <v>0.79450696902884832</v>
      </c>
      <c r="C28" s="4">
        <f t="shared" si="0"/>
        <v>120.76505929238495</v>
      </c>
      <c r="E28" s="4">
        <f t="shared" si="1"/>
        <v>0</v>
      </c>
    </row>
    <row r="29" spans="1:5" x14ac:dyDescent="0.3">
      <c r="A29" s="1">
        <v>27</v>
      </c>
      <c r="B29" s="3">
        <v>0.82069925549275435</v>
      </c>
      <c r="C29" s="4">
        <f t="shared" si="0"/>
        <v>124.74628683489865</v>
      </c>
      <c r="E29" s="4">
        <f t="shared" si="1"/>
        <v>0</v>
      </c>
    </row>
    <row r="30" spans="1:5" x14ac:dyDescent="0.3">
      <c r="A30" s="1">
        <v>28</v>
      </c>
      <c r="B30" s="3">
        <v>0.85619028539959174</v>
      </c>
      <c r="C30" s="4">
        <f t="shared" si="0"/>
        <v>130.14092338073795</v>
      </c>
      <c r="E30" s="4">
        <f t="shared" si="1"/>
        <v>0</v>
      </c>
    </row>
    <row r="31" spans="1:5" x14ac:dyDescent="0.3">
      <c r="A31" s="1">
        <v>29</v>
      </c>
      <c r="B31" s="3">
        <v>0.89014917006137573</v>
      </c>
      <c r="C31" s="4">
        <f t="shared" si="0"/>
        <v>135.3026738493291</v>
      </c>
      <c r="E31" s="4">
        <f t="shared" si="1"/>
        <v>0</v>
      </c>
    </row>
    <row r="32" spans="1:5" x14ac:dyDescent="0.3">
      <c r="A32" s="1">
        <v>30</v>
      </c>
      <c r="B32" s="3">
        <v>0.94667796703885787</v>
      </c>
      <c r="C32" s="4">
        <f t="shared" si="0"/>
        <v>143.89505098990639</v>
      </c>
      <c r="E32" s="4">
        <f t="shared" si="1"/>
        <v>0</v>
      </c>
    </row>
    <row r="33" spans="1:5" x14ac:dyDescent="0.3">
      <c r="A33" s="1">
        <v>31</v>
      </c>
      <c r="B33" s="3">
        <v>1</v>
      </c>
      <c r="C33" s="4">
        <f t="shared" si="0"/>
        <v>152</v>
      </c>
      <c r="E33" s="4">
        <f t="shared" si="1"/>
        <v>0</v>
      </c>
    </row>
  </sheetData>
  <conditionalFormatting sqref="A3:A33">
    <cfRule type="expression" dxfId="1" priority="1">
      <formula>$A3=$B$112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9516D-DB2D-4859-B61B-1A68D75109AA}">
  <dimension ref="A1:E33"/>
  <sheetViews>
    <sheetView tabSelected="1" workbookViewId="0">
      <selection activeCell="G9" sqref="G9"/>
    </sheetView>
  </sheetViews>
  <sheetFormatPr baseColWidth="10" defaultRowHeight="14.4" x14ac:dyDescent="0.3"/>
  <cols>
    <col min="1" max="1" width="15.21875" bestFit="1" customWidth="1"/>
    <col min="2" max="2" width="21.88671875" bestFit="1" customWidth="1"/>
    <col min="3" max="3" width="11.77734375" style="4" bestFit="1" customWidth="1"/>
    <col min="5" max="5" width="12.21875" bestFit="1" customWidth="1"/>
  </cols>
  <sheetData>
    <row r="1" spans="1:5" x14ac:dyDescent="0.3">
      <c r="A1" t="s">
        <v>2</v>
      </c>
      <c r="B1" s="4">
        <v>284500000</v>
      </c>
    </row>
    <row r="2" spans="1:5" x14ac:dyDescent="0.3">
      <c r="A2" s="2" t="s">
        <v>7</v>
      </c>
      <c r="B2" s="2" t="s">
        <v>1</v>
      </c>
      <c r="C2" s="2" t="s">
        <v>3</v>
      </c>
      <c r="D2" s="2" t="s">
        <v>4</v>
      </c>
      <c r="E2" s="2" t="s">
        <v>5</v>
      </c>
    </row>
    <row r="3" spans="1:5" x14ac:dyDescent="0.3">
      <c r="A3" s="1">
        <v>1</v>
      </c>
      <c r="B3" s="3">
        <v>2.5350997619452881E-2</v>
      </c>
      <c r="C3" s="4">
        <f>+$B$1*B3</f>
        <v>7212358.8227343448</v>
      </c>
      <c r="D3" s="4"/>
      <c r="E3" s="4">
        <f>+($B$1*(D3*$B$33)/C3)</f>
        <v>0</v>
      </c>
    </row>
    <row r="4" spans="1:5" x14ac:dyDescent="0.3">
      <c r="A4" s="1">
        <v>2</v>
      </c>
      <c r="B4" s="3">
        <v>5.2547401190426904E-2</v>
      </c>
      <c r="C4" s="4">
        <f t="shared" ref="C4:C33" si="0">+$B$1*B4</f>
        <v>14949735.638676453</v>
      </c>
      <c r="E4" s="4">
        <f t="shared" ref="E4:E33" si="1">+($B$1*(D4*$B$33)/C4)</f>
        <v>0</v>
      </c>
    </row>
    <row r="5" spans="1:5" x14ac:dyDescent="0.3">
      <c r="A5" s="1">
        <v>3</v>
      </c>
      <c r="B5" s="3">
        <v>7.7694014952965212E-2</v>
      </c>
      <c r="C5" s="4">
        <f t="shared" si="0"/>
        <v>22103947.254118603</v>
      </c>
      <c r="E5" s="4">
        <f t="shared" si="1"/>
        <v>0</v>
      </c>
    </row>
    <row r="6" spans="1:5" x14ac:dyDescent="0.3">
      <c r="A6" s="1">
        <v>4</v>
      </c>
      <c r="B6" s="3">
        <v>9.858003547862787E-2</v>
      </c>
      <c r="C6" s="4">
        <f t="shared" si="0"/>
        <v>28046020.093669631</v>
      </c>
      <c r="E6" s="4">
        <f t="shared" si="1"/>
        <v>0</v>
      </c>
    </row>
    <row r="7" spans="1:5" x14ac:dyDescent="0.3">
      <c r="A7" s="1">
        <v>5</v>
      </c>
      <c r="B7" s="3">
        <v>0.11917477492816796</v>
      </c>
      <c r="C7" s="4">
        <f t="shared" si="0"/>
        <v>33905223.467063785</v>
      </c>
      <c r="E7" s="4">
        <f t="shared" si="1"/>
        <v>0</v>
      </c>
    </row>
    <row r="8" spans="1:5" x14ac:dyDescent="0.3">
      <c r="A8" s="1">
        <v>6</v>
      </c>
      <c r="B8" s="3">
        <v>0.15714393495945966</v>
      </c>
      <c r="C8" s="4">
        <f t="shared" si="0"/>
        <v>44707449.495966271</v>
      </c>
      <c r="E8" s="4">
        <f t="shared" si="1"/>
        <v>0</v>
      </c>
    </row>
    <row r="9" spans="1:5" x14ac:dyDescent="0.3">
      <c r="A9" s="1">
        <v>7</v>
      </c>
      <c r="B9" s="3">
        <v>0.18567768913662983</v>
      </c>
      <c r="C9" s="4">
        <f t="shared" si="0"/>
        <v>52825302.559371188</v>
      </c>
      <c r="E9" s="4">
        <f t="shared" si="1"/>
        <v>0</v>
      </c>
    </row>
    <row r="10" spans="1:5" x14ac:dyDescent="0.3">
      <c r="A10" s="1">
        <v>8</v>
      </c>
      <c r="B10" s="3">
        <v>0.20572006514888228</v>
      </c>
      <c r="C10" s="4">
        <f t="shared" si="0"/>
        <v>58527358.534857005</v>
      </c>
      <c r="E10" s="4">
        <f t="shared" si="1"/>
        <v>0</v>
      </c>
    </row>
    <row r="11" spans="1:5" x14ac:dyDescent="0.3">
      <c r="A11" s="1">
        <v>9</v>
      </c>
      <c r="B11" s="3">
        <v>0.24992050971977844</v>
      </c>
      <c r="C11" s="4">
        <f t="shared" si="0"/>
        <v>71102385.015276968</v>
      </c>
      <c r="E11" s="4">
        <f t="shared" si="1"/>
        <v>0</v>
      </c>
    </row>
    <row r="12" spans="1:5" x14ac:dyDescent="0.3">
      <c r="A12" s="1">
        <v>10</v>
      </c>
      <c r="B12" s="3">
        <v>0.28174964332257102</v>
      </c>
      <c r="C12" s="4">
        <f t="shared" si="0"/>
        <v>80157773.52527146</v>
      </c>
      <c r="E12" s="4">
        <f t="shared" si="1"/>
        <v>0</v>
      </c>
    </row>
    <row r="13" spans="1:5" x14ac:dyDescent="0.3">
      <c r="A13" s="1">
        <v>11</v>
      </c>
      <c r="B13" s="3">
        <v>0.31250143252845147</v>
      </c>
      <c r="C13" s="4">
        <f t="shared" si="0"/>
        <v>88906657.554344445</v>
      </c>
      <c r="E13" s="4">
        <f t="shared" si="1"/>
        <v>0</v>
      </c>
    </row>
    <row r="14" spans="1:5" x14ac:dyDescent="0.3">
      <c r="A14" s="1">
        <v>12</v>
      </c>
      <c r="B14" s="3">
        <v>0.3539315013087635</v>
      </c>
      <c r="C14" s="4">
        <f t="shared" si="0"/>
        <v>100693512.12234321</v>
      </c>
      <c r="E14" s="4">
        <f t="shared" si="1"/>
        <v>0</v>
      </c>
    </row>
    <row r="15" spans="1:5" x14ac:dyDescent="0.3">
      <c r="A15" s="1">
        <v>13</v>
      </c>
      <c r="B15" s="3">
        <v>0.38040883667545466</v>
      </c>
      <c r="C15" s="4">
        <f t="shared" si="0"/>
        <v>108226314.03416686</v>
      </c>
      <c r="E15" s="4">
        <f t="shared" si="1"/>
        <v>0</v>
      </c>
    </row>
    <row r="16" spans="1:5" x14ac:dyDescent="0.3">
      <c r="A16" s="1">
        <v>14</v>
      </c>
      <c r="B16" s="3">
        <v>0.4025281719679476</v>
      </c>
      <c r="C16" s="4">
        <f t="shared" si="0"/>
        <v>114519264.92488109</v>
      </c>
      <c r="E16" s="4">
        <f t="shared" si="1"/>
        <v>0</v>
      </c>
    </row>
    <row r="17" spans="1:5" x14ac:dyDescent="0.3">
      <c r="A17" s="1">
        <v>15</v>
      </c>
      <c r="B17" s="3">
        <v>0.43295410978220161</v>
      </c>
      <c r="C17" s="4">
        <f t="shared" si="0"/>
        <v>123175444.23303635</v>
      </c>
      <c r="E17" s="4">
        <f t="shared" si="1"/>
        <v>0</v>
      </c>
    </row>
    <row r="18" spans="1:5" x14ac:dyDescent="0.3">
      <c r="A18" s="1">
        <v>16</v>
      </c>
      <c r="B18" s="3">
        <v>0.45249188925697992</v>
      </c>
      <c r="C18" s="4">
        <f t="shared" si="0"/>
        <v>128733942.49361078</v>
      </c>
      <c r="E18" s="4">
        <f t="shared" si="1"/>
        <v>0</v>
      </c>
    </row>
    <row r="19" spans="1:5" x14ac:dyDescent="0.3">
      <c r="A19" s="1">
        <v>17</v>
      </c>
      <c r="B19" s="3">
        <v>0.50402527495234062</v>
      </c>
      <c r="C19" s="4">
        <f t="shared" si="0"/>
        <v>143395190.72394091</v>
      </c>
      <c r="E19" s="4">
        <f t="shared" si="1"/>
        <v>0</v>
      </c>
    </row>
    <row r="20" spans="1:5" x14ac:dyDescent="0.3">
      <c r="A20" s="1">
        <v>18</v>
      </c>
      <c r="B20" s="3">
        <v>0.53569703113726985</v>
      </c>
      <c r="C20" s="4">
        <f t="shared" si="0"/>
        <v>152405805.35855326</v>
      </c>
      <c r="E20" s="4">
        <f t="shared" si="1"/>
        <v>0</v>
      </c>
    </row>
    <row r="21" spans="1:5" x14ac:dyDescent="0.3">
      <c r="A21" s="1">
        <v>19</v>
      </c>
      <c r="B21" s="3">
        <v>0.56512252689200015</v>
      </c>
      <c r="C21" s="4">
        <f t="shared" si="0"/>
        <v>160777358.90077403</v>
      </c>
      <c r="E21" s="4">
        <f t="shared" si="1"/>
        <v>0</v>
      </c>
    </row>
    <row r="22" spans="1:5" x14ac:dyDescent="0.3">
      <c r="A22" s="1">
        <v>20</v>
      </c>
      <c r="B22" s="3">
        <v>0.59746485248409598</v>
      </c>
      <c r="C22" s="4">
        <f t="shared" si="0"/>
        <v>169978750.53172532</v>
      </c>
      <c r="E22" s="4">
        <f t="shared" si="1"/>
        <v>0</v>
      </c>
    </row>
    <row r="23" spans="1:5" x14ac:dyDescent="0.3">
      <c r="A23" s="1">
        <v>21</v>
      </c>
      <c r="B23" s="3">
        <v>0.62740356673954634</v>
      </c>
      <c r="C23" s="4">
        <f t="shared" si="0"/>
        <v>178496314.73740092</v>
      </c>
      <c r="E23" s="4">
        <f t="shared" si="1"/>
        <v>0</v>
      </c>
    </row>
    <row r="24" spans="1:5" x14ac:dyDescent="0.3">
      <c r="A24" s="1">
        <v>22</v>
      </c>
      <c r="B24" s="3">
        <v>0.65873478436710098</v>
      </c>
      <c r="C24" s="4">
        <f t="shared" si="0"/>
        <v>187410046.15244022</v>
      </c>
      <c r="E24" s="4">
        <f t="shared" si="1"/>
        <v>0</v>
      </c>
    </row>
    <row r="25" spans="1:5" x14ac:dyDescent="0.3">
      <c r="A25" s="1">
        <v>23</v>
      </c>
      <c r="B25" s="3">
        <v>0.6936292485991391</v>
      </c>
      <c r="C25" s="4">
        <f t="shared" si="0"/>
        <v>197337521.22645506</v>
      </c>
      <c r="E25" s="4">
        <f t="shared" si="1"/>
        <v>0</v>
      </c>
    </row>
    <row r="26" spans="1:5" x14ac:dyDescent="0.3">
      <c r="A26" s="1">
        <v>24</v>
      </c>
      <c r="B26" s="3">
        <v>0.73048956065990933</v>
      </c>
      <c r="C26" s="4">
        <f t="shared" si="0"/>
        <v>207824280.00774419</v>
      </c>
      <c r="E26" s="4">
        <f t="shared" si="1"/>
        <v>0</v>
      </c>
    </row>
    <row r="27" spans="1:5" x14ac:dyDescent="0.3">
      <c r="A27" s="1">
        <v>25</v>
      </c>
      <c r="B27" s="3">
        <v>0.75740158157360793</v>
      </c>
      <c r="C27" s="4">
        <f t="shared" si="0"/>
        <v>215480749.95769146</v>
      </c>
      <c r="E27" s="4">
        <f t="shared" si="1"/>
        <v>0</v>
      </c>
    </row>
    <row r="28" spans="1:5" x14ac:dyDescent="0.3">
      <c r="A28" s="1">
        <v>26</v>
      </c>
      <c r="B28" s="3">
        <v>0.79450696902884832</v>
      </c>
      <c r="C28" s="4">
        <f t="shared" si="0"/>
        <v>226037232.68870735</v>
      </c>
      <c r="E28" s="4">
        <f t="shared" si="1"/>
        <v>0</v>
      </c>
    </row>
    <row r="29" spans="1:5" x14ac:dyDescent="0.3">
      <c r="A29" s="1">
        <v>27</v>
      </c>
      <c r="B29" s="3">
        <v>0.82069925549275435</v>
      </c>
      <c r="C29" s="4">
        <f t="shared" si="0"/>
        <v>233488938.18768862</v>
      </c>
      <c r="E29" s="4">
        <f t="shared" si="1"/>
        <v>0</v>
      </c>
    </row>
    <row r="30" spans="1:5" x14ac:dyDescent="0.3">
      <c r="A30" s="1">
        <v>28</v>
      </c>
      <c r="B30" s="3">
        <v>0.85619028539959174</v>
      </c>
      <c r="C30" s="4">
        <f t="shared" si="0"/>
        <v>243586136.19618386</v>
      </c>
      <c r="E30" s="4">
        <f t="shared" si="1"/>
        <v>0</v>
      </c>
    </row>
    <row r="31" spans="1:5" x14ac:dyDescent="0.3">
      <c r="A31" s="1">
        <v>29</v>
      </c>
      <c r="B31" s="3">
        <v>0.89014917006137573</v>
      </c>
      <c r="C31" s="4">
        <f t="shared" si="0"/>
        <v>253247438.8824614</v>
      </c>
      <c r="E31" s="4">
        <f t="shared" si="1"/>
        <v>0</v>
      </c>
    </row>
    <row r="32" spans="1:5" x14ac:dyDescent="0.3">
      <c r="A32" s="1">
        <v>30</v>
      </c>
      <c r="B32" s="3">
        <v>0.94667796703885787</v>
      </c>
      <c r="C32" s="4">
        <f t="shared" si="0"/>
        <v>269329881.62255508</v>
      </c>
      <c r="E32" s="4">
        <f t="shared" si="1"/>
        <v>0</v>
      </c>
    </row>
    <row r="33" spans="1:5" x14ac:dyDescent="0.3">
      <c r="A33" s="1">
        <v>31</v>
      </c>
      <c r="B33" s="3">
        <v>1</v>
      </c>
      <c r="C33" s="4">
        <f t="shared" si="0"/>
        <v>284500000</v>
      </c>
      <c r="E33" s="4">
        <f t="shared" si="1"/>
        <v>0</v>
      </c>
    </row>
  </sheetData>
  <conditionalFormatting sqref="A3:A33">
    <cfRule type="expression" dxfId="0" priority="1">
      <formula>$A3=$B$112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Proyeccion Venta Diaria Q</vt:lpstr>
      <vt:lpstr>Proyeccion venta diaria $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A. Ramirez G.</dc:creator>
  <cp:lastModifiedBy>Anaís González</cp:lastModifiedBy>
  <dcterms:created xsi:type="dcterms:W3CDTF">2026-03-16T15:16:09Z</dcterms:created>
  <dcterms:modified xsi:type="dcterms:W3CDTF">2026-04-08T16:07:46Z</dcterms:modified>
</cp:coreProperties>
</file>