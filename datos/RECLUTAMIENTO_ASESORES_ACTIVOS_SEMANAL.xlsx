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f502c28020c5b60/Documentos/GIM/Proteccion Familiar/Estrategia/Estrategia 2026/1.Estrategia Reclutamiento 2026/Dashboard de Reclutamiento/"/>
    </mc:Choice>
  </mc:AlternateContent>
  <xr:revisionPtr revIDLastSave="21" documentId="8_{834D4720-2142-418D-A229-6C917F0A3D88}" xr6:coauthVersionLast="47" xr6:coauthVersionMax="47" xr10:uidLastSave="{4F5493FE-C126-426C-885E-0A7D78FE9ACB}"/>
  <bookViews>
    <workbookView xWindow="-98" yWindow="-98" windowWidth="21795" windowHeight="12975" xr2:uid="{00000000-000D-0000-FFFF-FFFF00000000}"/>
  </bookViews>
  <sheets>
    <sheet name="BBDD Reclutamient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</calcChain>
</file>

<file path=xl/sharedStrings.xml><?xml version="1.0" encoding="utf-8"?>
<sst xmlns="http://schemas.openxmlformats.org/spreadsheetml/2006/main" count="9690" uniqueCount="2711">
  <si>
    <t>DISTRITO</t>
  </si>
  <si>
    <t>NOMBRE LÍDER</t>
  </si>
  <si>
    <t>CARGO</t>
  </si>
  <si>
    <t>FECHA DE INGRESO</t>
  </si>
  <si>
    <t>RUN</t>
  </si>
  <si>
    <t>NOMBRE COMPLETO</t>
  </si>
  <si>
    <t>GÉNERO</t>
  </si>
  <si>
    <t>PROFESIÓN U OCUPACIÓN</t>
  </si>
  <si>
    <t>DIRECCIÓN</t>
  </si>
  <si>
    <t>COMUNA</t>
  </si>
  <si>
    <t>CORREO ELECTRÓNICO</t>
  </si>
  <si>
    <t>TELÉFONO</t>
  </si>
  <si>
    <t>ESTADO CIVIL</t>
  </si>
  <si>
    <t>NACIONALIDAD</t>
  </si>
  <si>
    <t>TIPO DE CUENTA</t>
  </si>
  <si>
    <t>BANCO</t>
  </si>
  <si>
    <t>NÚMERO DE CUENTA</t>
  </si>
  <si>
    <t>ESTADO</t>
  </si>
  <si>
    <t>ORIGEN</t>
  </si>
  <si>
    <t>ORIGEN 2</t>
  </si>
  <si>
    <t>FECHA DE BAJA</t>
  </si>
  <si>
    <t>FECHA DE NACIMIENTO</t>
  </si>
  <si>
    <t>EDAD</t>
  </si>
  <si>
    <t>DISTRITO CENTRAL</t>
  </si>
  <si>
    <t>ERNESTO OLIVA</t>
  </si>
  <si>
    <t>LÍDER DE EQUIPO NF</t>
  </si>
  <si>
    <t>12146613-9</t>
  </si>
  <si>
    <t>JOSE PAVEZ SAN MARTTIN</t>
  </si>
  <si>
    <t>MASCULINO</t>
  </si>
  <si>
    <t>ADMINISTRADOR</t>
  </si>
  <si>
    <t>ARTURO GODOY 1671</t>
  </si>
  <si>
    <t>MAIPÚ</t>
  </si>
  <si>
    <t>jpavezsanmartin@gmail.com</t>
  </si>
  <si>
    <t>SOLTERO/A</t>
  </si>
  <si>
    <t>CHILENO/A</t>
  </si>
  <si>
    <t>CUENTA CORRIENTE</t>
  </si>
  <si>
    <t>SANTANDER</t>
  </si>
  <si>
    <t>BAJA</t>
  </si>
  <si>
    <t>REFERIDOS</t>
  </si>
  <si>
    <t>LÍDER</t>
  </si>
  <si>
    <t>13786667-6</t>
  </si>
  <si>
    <t>ALEJANDRA DEL CARMEN VERDUGO IBARRA</t>
  </si>
  <si>
    <t>FEMENINO</t>
  </si>
  <si>
    <t>TÉCNICO EN COSMETOLOGÍA</t>
  </si>
  <si>
    <t>SANTA SONIA 152</t>
  </si>
  <si>
    <t>SANTIAGO CENTRO</t>
  </si>
  <si>
    <t>ALEJANDRA.VERDUGO.IBARRA@GMAIL.COM</t>
  </si>
  <si>
    <t>VISTA - CHEQUERA ELECTRONICA</t>
  </si>
  <si>
    <t>BANCO DE CHILE</t>
  </si>
  <si>
    <t>ASISTENTE COMERCIAL NF</t>
  </si>
  <si>
    <t>27608291-4</t>
  </si>
  <si>
    <t>ANAÍS JHOSELYN GONZÁLEZ YAÑEZ</t>
  </si>
  <si>
    <t>TÉCNICO EN INFORMÁTICA</t>
  </si>
  <si>
    <t>LAS CODORNICES 2929 H12</t>
  </si>
  <si>
    <t>MACUL</t>
  </si>
  <si>
    <t>anaisda@gmail.com</t>
  </si>
  <si>
    <t>CASADO/A</t>
  </si>
  <si>
    <t>VENEZOLANO/A</t>
  </si>
  <si>
    <t>CUENTA VISTA / RUT</t>
  </si>
  <si>
    <t>ITAÚ</t>
  </si>
  <si>
    <t>ACTIVO</t>
  </si>
  <si>
    <t>9006512-2</t>
  </si>
  <si>
    <t>AURORA ELIZABETH GAETE MUÑOZ</t>
  </si>
  <si>
    <t>PASTORA EVANGÉLICA</t>
  </si>
  <si>
    <t>DIECIOCHO 164</t>
  </si>
  <si>
    <t>ELIZABETHGAETEMUNOZ@GMAIL.COM</t>
  </si>
  <si>
    <t>BANCO ESTADO</t>
  </si>
  <si>
    <t>17450643-4</t>
  </si>
  <si>
    <t>JENIFERT PACHECO BARRÍA</t>
  </si>
  <si>
    <t>VENDEDOR</t>
  </si>
  <si>
    <t>LAS AÑAÑUCAS 0477</t>
  </si>
  <si>
    <t>PEÑAFLOR</t>
  </si>
  <si>
    <t>Jenifertpachecobarria@gmail.com</t>
  </si>
  <si>
    <t>RIPLEY</t>
  </si>
  <si>
    <t>R&amp;C</t>
  </si>
  <si>
    <t>15898487-3</t>
  </si>
  <si>
    <t>MARCO ANTONIO ACOSTA MERINO</t>
  </si>
  <si>
    <t>MECÁNICO AUTOMOTRIZ</t>
  </si>
  <si>
    <t>RIO BUENO 6784</t>
  </si>
  <si>
    <t>PEÑALOLEN</t>
  </si>
  <si>
    <t>ACOSTAMERINO.MARCO@GMAIL.COM</t>
  </si>
  <si>
    <t>DIVORCIADO/A</t>
  </si>
  <si>
    <t>BANCO FALABELLA</t>
  </si>
  <si>
    <t>25718400-5</t>
  </si>
  <si>
    <t>MAYERLIN PÉREZ GONZÁLEZ</t>
  </si>
  <si>
    <t>TÉCNICO ADMINISTRATIVO</t>
  </si>
  <si>
    <t>MORANDE 626 APTO 1614</t>
  </si>
  <si>
    <t>MAYERLINPEREZ1612@GMAIL.COM</t>
  </si>
  <si>
    <t>DOMINGO SOLORZA</t>
  </si>
  <si>
    <t>ASESOR</t>
  </si>
  <si>
    <t>16070377-6</t>
  </si>
  <si>
    <t>NATALY DEL CARMEN HINOJOSA ROJAS</t>
  </si>
  <si>
    <t>TRABAJADOR SOCIAL</t>
  </si>
  <si>
    <t>FLORIDA 931 DEPARTAMENTO D-14</t>
  </si>
  <si>
    <t>SAN BERNARDO</t>
  </si>
  <si>
    <t>nataly.hinojosatsp@gmail.com</t>
  </si>
  <si>
    <t>BCI</t>
  </si>
  <si>
    <t>16997162-5</t>
  </si>
  <si>
    <t>NATALY ELBA CABRERA MELLA</t>
  </si>
  <si>
    <t>DISEÑADORA DE VESTUARIO</t>
  </si>
  <si>
    <t>AVENIDA LIBERTADOR BERNARDO O'HIGGINS 268, DEPTO 106</t>
  </si>
  <si>
    <t>vestuarioyaccesorios01@gmail.com</t>
  </si>
  <si>
    <t>26144420-8</t>
  </si>
  <si>
    <t>ROGER EDUARDO DUARTE CRUZ</t>
  </si>
  <si>
    <t>TÉCNICO EN ADMINISTRACIÓN TRIBUTARIA</t>
  </si>
  <si>
    <t>SANTA LUISA LOS INGLESES PARCELA J3</t>
  </si>
  <si>
    <t>CHICUREO</t>
  </si>
  <si>
    <t>taller.chicureo@gmail.com</t>
  </si>
  <si>
    <t>YASMELY VARGAS</t>
  </si>
  <si>
    <t>10272257-4</t>
  </si>
  <si>
    <t>VIVIANA MARISOL HERNÁNDEZ PÉREZ</t>
  </si>
  <si>
    <t>PARAMÉDICO</t>
  </si>
  <si>
    <t>PRIMERA TRANSVERSAL 2247</t>
  </si>
  <si>
    <t>Vivipol07@gmail.com</t>
  </si>
  <si>
    <t>27207379-1</t>
  </si>
  <si>
    <t>YASMELY RAMONA VARGAS INFANTE</t>
  </si>
  <si>
    <t>ABOGADA Y LICENCIA EN ADMINISTRACIÓN DE EMPRESAS</t>
  </si>
  <si>
    <t>MARCOLETA 462, DEPTO 1313</t>
  </si>
  <si>
    <t>yasmelyvargas@gmail.com</t>
  </si>
  <si>
    <t>GERENCIA GENERAL</t>
  </si>
  <si>
    <t>RICARDO RAMÍREZ</t>
  </si>
  <si>
    <t>GERENTE DISTRITO</t>
  </si>
  <si>
    <t>GERENTE COMERCIAL</t>
  </si>
  <si>
    <t>TRASPASO INTERNO</t>
  </si>
  <si>
    <t>VALLES UNIDOS</t>
  </si>
  <si>
    <t>NICOLÁS ROMERO</t>
  </si>
  <si>
    <t>10273386-K</t>
  </si>
  <si>
    <t>JUAN PABLO FIGUEROA PÉREZ</t>
  </si>
  <si>
    <t>CÓNDOR 755 101-C</t>
  </si>
  <si>
    <t xml:space="preserve">jfiguer68@gmail.com </t>
  </si>
  <si>
    <t>SCOTIABANK</t>
  </si>
  <si>
    <t>VIVIANA HERNÁNDEZ</t>
  </si>
  <si>
    <t>28567156-6</t>
  </si>
  <si>
    <t>JUAN PABLO ZEÑA</t>
  </si>
  <si>
    <t>LIBERTAD 1270, DEPTO 228</t>
  </si>
  <si>
    <t>elcartero11@gmail.com</t>
  </si>
  <si>
    <t>ARGENTINO/A</t>
  </si>
  <si>
    <t>REDES SOCIALES</t>
  </si>
  <si>
    <t>121482908</t>
  </si>
  <si>
    <t>FANNY LUZ ALCOTA BOVED</t>
  </si>
  <si>
    <t>ASESOR FAMILIAR</t>
  </si>
  <si>
    <t>PASAJE EL FUNDO 553</t>
  </si>
  <si>
    <t>PUENTE ALTO</t>
  </si>
  <si>
    <t>fannyalcota@gmail.com</t>
  </si>
  <si>
    <t>12675933-9</t>
  </si>
  <si>
    <t>GIANINA DEL CARMEN GOMEZ VENEGAS</t>
  </si>
  <si>
    <t>EJECUTIVA DE VENTAS</t>
  </si>
  <si>
    <t>SALAR GRANDE 3674</t>
  </si>
  <si>
    <t>gianina.gomez@gmail.com</t>
  </si>
  <si>
    <t>13554282-2</t>
  </si>
  <si>
    <t>JAVIER LONCOMILLA GONZALEZ</t>
  </si>
  <si>
    <t>MARIO ESPERIDION OSSANDÓN 338</t>
  </si>
  <si>
    <t>BUIN</t>
  </si>
  <si>
    <t>javier_loncomilla2@yahoo.es</t>
  </si>
  <si>
    <t>20388301-3</t>
  </si>
  <si>
    <t>JAVIERA BELEN GALLARDO MOLINA</t>
  </si>
  <si>
    <t>VENDEDORA</t>
  </si>
  <si>
    <t>LA CAÑADA 1844</t>
  </si>
  <si>
    <t>ESTACIÓN CENTRAL</t>
  </si>
  <si>
    <t>Javiera2000gallardo@gmail.com</t>
  </si>
  <si>
    <t>ASESOR / PARQUE</t>
  </si>
  <si>
    <t>26499309-1</t>
  </si>
  <si>
    <t>JETZY PAOLA MONSALVE AVENDAÑO</t>
  </si>
  <si>
    <t>EJECUTIVO DE VENTAS</t>
  </si>
  <si>
    <t>MANUEL ANTONIO TOCORNAL 661, DEPTO 324</t>
  </si>
  <si>
    <t>SANTIAGO</t>
  </si>
  <si>
    <t>monspaola282@gmail.com</t>
  </si>
  <si>
    <t>16682489-3</t>
  </si>
  <si>
    <t>JORGE ÁLVAREZ BARRERA</t>
  </si>
  <si>
    <t>ANTONIO VENERO 13356</t>
  </si>
  <si>
    <t>Jorgealvarezbarrera2611@hotmail.com</t>
  </si>
  <si>
    <t>NELSON RODRÍGUEZ</t>
  </si>
  <si>
    <t>17485621-4</t>
  </si>
  <si>
    <t>KARINA ANDREA VAQUERO MORA</t>
  </si>
  <si>
    <t>LICENCIADO EN COMUNICACIONES</t>
  </si>
  <si>
    <t>NICOMEDE GUZMAN 5118</t>
  </si>
  <si>
    <t xml:space="preserve">Diaz_alfonzo@hotmail.com </t>
  </si>
  <si>
    <t>18992051-2</t>
  </si>
  <si>
    <t>RODRIGO NICOLÁS CERDA FONSECA</t>
  </si>
  <si>
    <t>GUARDIA DE SEGURIDAD</t>
  </si>
  <si>
    <t>NIDO DE ÁGUILAS 14557</t>
  </si>
  <si>
    <t>LO BARNECHEA</t>
  </si>
  <si>
    <t>toto9ego@gmail.com</t>
  </si>
  <si>
    <t>14259334-3</t>
  </si>
  <si>
    <t>SONIA DEL CARMEN ORELLANA SANCHEZ</t>
  </si>
  <si>
    <t>ESTILISTA TÉCNICO ADMINISTRACIÓN DE EMPRESA</t>
  </si>
  <si>
    <t>LOS PASCUENCES 779</t>
  </si>
  <si>
    <t>Mundorenacesonia@gmail.com</t>
  </si>
  <si>
    <t>26693862-4</t>
  </si>
  <si>
    <t>YINGRIMAR LÓPEZ YÁNEZ</t>
  </si>
  <si>
    <t>ODONTÓLOGO</t>
  </si>
  <si>
    <t>VICUÑA MACKENNA 2289 TORRE C, DEPTO 2509</t>
  </si>
  <si>
    <t>SAN JOAQUÍN</t>
  </si>
  <si>
    <t>Yingrimar@gmail.com</t>
  </si>
  <si>
    <t>NATALY CABRERA</t>
  </si>
  <si>
    <t>25897597-9</t>
  </si>
  <si>
    <t>AILEY NIÑO BERBESI</t>
  </si>
  <si>
    <t>GARZONA</t>
  </si>
  <si>
    <t>ONCE ORIENTE 2400</t>
  </si>
  <si>
    <t>Aileynino@gmail.com</t>
  </si>
  <si>
    <t>19009786-2</t>
  </si>
  <si>
    <t>AIRON CRISTOFER ORELLANA MORAGA</t>
  </si>
  <si>
    <t>INGENIERO EN PREVENCIÓN DE RIESGOS</t>
  </si>
  <si>
    <t>PANAMÁ 8191</t>
  </si>
  <si>
    <t>LA FLORIDA</t>
  </si>
  <si>
    <t>Airon.orellana77@gmail.com</t>
  </si>
  <si>
    <t>MARCO ACOSTA</t>
  </si>
  <si>
    <t>15368981-4</t>
  </si>
  <si>
    <t>ALDO ROLANDO NEIRA APABLAZA</t>
  </si>
  <si>
    <t>PASAJE CERRO OBELISCO 0555</t>
  </si>
  <si>
    <t>aldoneiraapablazaa@gmail.com</t>
  </si>
  <si>
    <t>20130266-8</t>
  </si>
  <si>
    <t>ALINE ALEJANDRA MUÑOZ PEREZ</t>
  </si>
  <si>
    <t>MAQUILLADORA PROFESIONAL</t>
  </si>
  <si>
    <t>CIUDAD REAL 1207</t>
  </si>
  <si>
    <t>CONCHALÍ</t>
  </si>
  <si>
    <t>Aline.spa2203@gmail.com</t>
  </si>
  <si>
    <t>NATALY HINOJOSA</t>
  </si>
  <si>
    <t>21483065-5</t>
  </si>
  <si>
    <t>ANA BELÉN BRAVO YAÑEZ</t>
  </si>
  <si>
    <t>LAGUNA SUR 195</t>
  </si>
  <si>
    <t>beleny747@gmail.com</t>
  </si>
  <si>
    <t>10769040-9</t>
  </si>
  <si>
    <t>ANA BURBOA FERNÁNDEZ</t>
  </si>
  <si>
    <t>BOMBERO MANUEL CAMPOS GOMEZ 02045</t>
  </si>
  <si>
    <t>anaburboafernandez@gmail.com</t>
  </si>
  <si>
    <t>26154821-6</t>
  </si>
  <si>
    <t>ANABEL DEL VALLE VELASQUEZ CARREÑO</t>
  </si>
  <si>
    <t>COLIGUES 0285</t>
  </si>
  <si>
    <t>COLINA</t>
  </si>
  <si>
    <t>anabelvelas982@gmail.com</t>
  </si>
  <si>
    <t>14288786-K</t>
  </si>
  <si>
    <t>ANGELICA MARIA YAÑEZ MUÑOZ</t>
  </si>
  <si>
    <t>SECRETARIA ADMINISTRATIVA</t>
  </si>
  <si>
    <t>EUCALIPTUS SEIS 18884</t>
  </si>
  <si>
    <t>Angelicakety@hotmail.com</t>
  </si>
  <si>
    <t>ROGER DUARTE</t>
  </si>
  <si>
    <t>18701723-8</t>
  </si>
  <si>
    <t>ARATHANZAZU ENCINA</t>
  </si>
  <si>
    <t>INDEPENDIENTE</t>
  </si>
  <si>
    <t>MARIANO LATORRE 1015</t>
  </si>
  <si>
    <t>LA PINTANA</t>
  </si>
  <si>
    <t>Arathanzazu@gmail.com</t>
  </si>
  <si>
    <t>17281277-5</t>
  </si>
  <si>
    <t>CAMILO ERNESTO PÉREZ MIRANDA</t>
  </si>
  <si>
    <t>ESTADIO 4380</t>
  </si>
  <si>
    <t>PEDRO AGUIRRE CERDA</t>
  </si>
  <si>
    <t>Camilo.perez.m@usach.cl</t>
  </si>
  <si>
    <t>22276268-5</t>
  </si>
  <si>
    <t>CATALINA ANDREA CUEVAS CARRASCO</t>
  </si>
  <si>
    <t>SALVADOR SILVA 2665</t>
  </si>
  <si>
    <t xml:space="preserve">catacuevasca@gmail.com </t>
  </si>
  <si>
    <t>24654456-5</t>
  </si>
  <si>
    <t>CATALINA BELEN CORNEJO DIAZ</t>
  </si>
  <si>
    <t>AV SANTA ROSA 325</t>
  </si>
  <si>
    <t>Cornejodiazcatalina@gmail.com</t>
  </si>
  <si>
    <t>14630027-8</t>
  </si>
  <si>
    <t>CRISTIAN MIGUEL MAKIVAVILA</t>
  </si>
  <si>
    <t>PEDRO DE VALDIVIA 3420</t>
  </si>
  <si>
    <t>PROVIDENCIA</t>
  </si>
  <si>
    <t>cristianmakivavila@gmail.com</t>
  </si>
  <si>
    <t>26537974-5</t>
  </si>
  <si>
    <t>DANIELA HERNÁNDEZ</t>
  </si>
  <si>
    <t>VICUÑA MACKENNA 6456</t>
  </si>
  <si>
    <t>lansisturiz@gmail.com</t>
  </si>
  <si>
    <t>13682663-8</t>
  </si>
  <si>
    <t>ELIZABETH DEL CARMEN RAMIREZ CABELLO</t>
  </si>
  <si>
    <t>DOCENTE</t>
  </si>
  <si>
    <t>GIRONA ORIENTE 1441, BARRIO ESPAÑA CIUDAD DEL SOL</t>
  </si>
  <si>
    <t>Elitaramirez.79@gmail.com</t>
  </si>
  <si>
    <t>16340769-8</t>
  </si>
  <si>
    <t>ERICK GONZALO CONTRERAS BALLAS</t>
  </si>
  <si>
    <t>CORONEL SOUPER 4400, DEPARTAMENTO 1203</t>
  </si>
  <si>
    <t>Erickcb1613@gmail.com</t>
  </si>
  <si>
    <t>17579081-0</t>
  </si>
  <si>
    <t>ERNESTO FILIDEI</t>
  </si>
  <si>
    <t>COMUNICADORA Y FOTÓGRAFA</t>
  </si>
  <si>
    <t>JOSE VILLAGRA 7960</t>
  </si>
  <si>
    <t>LO PRADO</t>
  </si>
  <si>
    <t>Ernestofmtrabajo@gmail.com</t>
  </si>
  <si>
    <t>17386267-9</t>
  </si>
  <si>
    <t>FERNANDA ISABEL SALDAÑO VERGARA</t>
  </si>
  <si>
    <t>PREVENCIONISTA DE RIESGOS</t>
  </si>
  <si>
    <t>AVENIDA ESPAÑA 445</t>
  </si>
  <si>
    <t xml:space="preserve">Fernandasaldanovergara@gmail.com </t>
  </si>
  <si>
    <t>26887529-8</t>
  </si>
  <si>
    <t>FRANCIS JOSEFINA JARAMILLO VILLARROEL</t>
  </si>
  <si>
    <t>PELUQUERA</t>
  </si>
  <si>
    <t>SANTO DOMINGO 1890</t>
  </si>
  <si>
    <t>Franjaravilla.12@gmail.com</t>
  </si>
  <si>
    <t>17104756-0</t>
  </si>
  <si>
    <t>FRANCISCA ANDREA DONOSO LEIVA</t>
  </si>
  <si>
    <t>TRES NORTE 8250</t>
  </si>
  <si>
    <t>fran.donoso.leiva@gmail.com</t>
  </si>
  <si>
    <t>18498831-3</t>
  </si>
  <si>
    <t>FRANCISCO ANDRÉ CASTILLO MORIS</t>
  </si>
  <si>
    <t>BAILARÍN PROFESIONAL</t>
  </si>
  <si>
    <t>GEMINIS 123</t>
  </si>
  <si>
    <t>Fcastillo.m.fc@gmail.com</t>
  </si>
  <si>
    <t>JENIFERT PACHECO</t>
  </si>
  <si>
    <t>19230733-3</t>
  </si>
  <si>
    <t>FRANCO MENDEZ CARRASCO</t>
  </si>
  <si>
    <t>INGENIERO COMERCIAL</t>
  </si>
  <si>
    <t>EL CREPÚSCULO #212</t>
  </si>
  <si>
    <t>f.mndzcrrsc@gmail.com</t>
  </si>
  <si>
    <t>TAPP CAJA LOS ANDES</t>
  </si>
  <si>
    <t>ELIZABETH GAETE</t>
  </si>
  <si>
    <t>20580717-9</t>
  </si>
  <si>
    <t>GÉNESIS VICTORIA FUENZALIDA GONZÁLEZ</t>
  </si>
  <si>
    <t>LOS AZULES 6771</t>
  </si>
  <si>
    <t>CERRO NAVIA</t>
  </si>
  <si>
    <t>genesisfuenzalida7@gmail.com</t>
  </si>
  <si>
    <t>12811179-4</t>
  </si>
  <si>
    <t>ISABEL ALEJANDRA VILLAR BARRERA</t>
  </si>
  <si>
    <t>CAJERA</t>
  </si>
  <si>
    <t>SANTA LUISA 141</t>
  </si>
  <si>
    <t>QUILICURA</t>
  </si>
  <si>
    <t xml:space="preserve">alejandravillar996@gitmail.com </t>
  </si>
  <si>
    <t>TERRENO</t>
  </si>
  <si>
    <t>ALEJANDRA VERDUGO</t>
  </si>
  <si>
    <t>21615101-1</t>
  </si>
  <si>
    <t>IVANNA SOFIA FUENTES VARGAS</t>
  </si>
  <si>
    <t>CALETERA AMÉRICO VESPUCIO 1751</t>
  </si>
  <si>
    <t>CERRILLOS</t>
  </si>
  <si>
    <t>ivannaf241@gmail.com</t>
  </si>
  <si>
    <t>20676408-2</t>
  </si>
  <si>
    <t>JOAQUÍN IGNACIO MARTÍNEZ BOZZO</t>
  </si>
  <si>
    <t>ESTUDIANTE</t>
  </si>
  <si>
    <t>FLORIDA 4214</t>
  </si>
  <si>
    <t>joaquinmartinezbozzo2026@gmail.com</t>
  </si>
  <si>
    <t>16198382-9</t>
  </si>
  <si>
    <t>JOHNNY JEREZ CATALDO</t>
  </si>
  <si>
    <t>TECNÓLOGO MÉDICO</t>
  </si>
  <si>
    <t>ENVASADORES 4457</t>
  </si>
  <si>
    <t>johnny.jerezc@gmail.com</t>
  </si>
  <si>
    <t>15347585-7</t>
  </si>
  <si>
    <t>JONATHAN RODRIGO AGUIRRE ARREDONDO</t>
  </si>
  <si>
    <t>RIQUELME 447</t>
  </si>
  <si>
    <t>LA CISTERNA</t>
  </si>
  <si>
    <t>jon1982.ja@gmail.com</t>
  </si>
  <si>
    <t>17307481-6</t>
  </si>
  <si>
    <t>JORGE LUIS DURAN TORO</t>
  </si>
  <si>
    <t>PASAJE VIRTUD 8385</t>
  </si>
  <si>
    <t>jorgeduran0406@gmail.com</t>
  </si>
  <si>
    <t>14695008-6</t>
  </si>
  <si>
    <t>JOSÉ JHONATAN LOAYZA LUJAN</t>
  </si>
  <si>
    <t>LAGO RUPANCO 864</t>
  </si>
  <si>
    <t>jhonny_1003@hotmail.com</t>
  </si>
  <si>
    <t>19707309-8</t>
  </si>
  <si>
    <t>KATERINE ESTER CASTILLO ESCALANTE</t>
  </si>
  <si>
    <t>AV. DIAGONAL LAS TORRES 711</t>
  </si>
  <si>
    <t>kattycastillo03@gmail.com</t>
  </si>
  <si>
    <t>VERDUGO</t>
  </si>
  <si>
    <t>KATHERINE ANDREA ADASME SANHUEZA</t>
  </si>
  <si>
    <t>TÉCNICO JURÍDICO</t>
  </si>
  <si>
    <t>AV. VICUÑA MACKENNA 7801, DEPTO 2013</t>
  </si>
  <si>
    <t>katadasme@gmail.com</t>
  </si>
  <si>
    <t>25438063-6</t>
  </si>
  <si>
    <t>LEONARDO NOREÑA LÓPEZ</t>
  </si>
  <si>
    <t>CONDE MAULE 4364</t>
  </si>
  <si>
    <t xml:space="preserve">Leonardonorena854@gmail.com </t>
  </si>
  <si>
    <t>17972802-8</t>
  </si>
  <si>
    <t>LESLY CONSTANSA CARES MARDONES</t>
  </si>
  <si>
    <t>PAPA BEATO PAULO VI 343</t>
  </si>
  <si>
    <t>PADRE HURTADO</t>
  </si>
  <si>
    <t>lesliegrey25@gmail.com</t>
  </si>
  <si>
    <t>16716652-0</t>
  </si>
  <si>
    <t>LISSETE OLIVARES ARANCIBIA</t>
  </si>
  <si>
    <t>INGENIERA EN ADMINISTRACIÓN</t>
  </si>
  <si>
    <t>ARTURO PRAT 602</t>
  </si>
  <si>
    <t>ÑUÑOA</t>
  </si>
  <si>
    <t>0livares.arancibia.lissete@gmail.com</t>
  </si>
  <si>
    <t>16863124-3</t>
  </si>
  <si>
    <t>LISSETTE CANALES FLORES</t>
  </si>
  <si>
    <t>CALLE DOS 756</t>
  </si>
  <si>
    <t>HUECHURABA</t>
  </si>
  <si>
    <t>canaleslise65@gmail.com</t>
  </si>
  <si>
    <t>24654457-3</t>
  </si>
  <si>
    <t>LUCÍA DANIELA CORNEJO DÍAZ</t>
  </si>
  <si>
    <t>Luciacornejo2002@gmail.com</t>
  </si>
  <si>
    <t>13933631-3</t>
  </si>
  <si>
    <t>LUIS ARIOSTO RUPERTHUZ MATELUNA</t>
  </si>
  <si>
    <t>ZENTENO 998, DPTO 292</t>
  </si>
  <si>
    <t>luisruperthuzm@gmail.com</t>
  </si>
  <si>
    <t>18610762-4</t>
  </si>
  <si>
    <t>MARCO ANTONIO ROBERT FUENTES</t>
  </si>
  <si>
    <t>ISABEL RIQUELME SUR 1459</t>
  </si>
  <si>
    <t>Marco.Robert.f@gmail.com</t>
  </si>
  <si>
    <t>GABRIELA ROJAS</t>
  </si>
  <si>
    <t>6477736-K</t>
  </si>
  <si>
    <t>MARÍA CLARISA ARRAÑO MORALES</t>
  </si>
  <si>
    <t>ARSENALERÍA</t>
  </si>
  <si>
    <t>PATRIA NUEVA 716, DEPARTAMENTO 506</t>
  </si>
  <si>
    <t>QUINTA NORMAL</t>
  </si>
  <si>
    <t>mariclarisa1@gmail.com</t>
  </si>
  <si>
    <t>19681001-3</t>
  </si>
  <si>
    <t>MARIA FERNANDA BARRIOS RIFFO</t>
  </si>
  <si>
    <t>LAGO O'HIGGINS 8230</t>
  </si>
  <si>
    <t>Fernanda.branqito1103@gmail.com</t>
  </si>
  <si>
    <t>16569562-3</t>
  </si>
  <si>
    <t>MARÍA JOSÉ URZÚA REYES</t>
  </si>
  <si>
    <t>mariajoseurzua.r@gmail.com</t>
  </si>
  <si>
    <t>10929732-1</t>
  </si>
  <si>
    <t>MARÍA RENEE QUINTANILLA</t>
  </si>
  <si>
    <t>ROSARIO VIAL PARCELA 23 B</t>
  </si>
  <si>
    <t>PAINE</t>
  </si>
  <si>
    <t>Superbruja.rn@icloud.com</t>
  </si>
  <si>
    <t>13930383-0</t>
  </si>
  <si>
    <t>MARIANA LABRIN PÉREZ</t>
  </si>
  <si>
    <t>PASAJE 2 PONIENTE #1221</t>
  </si>
  <si>
    <t>mariana.labrinp@gmail.com</t>
  </si>
  <si>
    <t>MAYERLIN PÉREZ</t>
  </si>
  <si>
    <t>21675959-1</t>
  </si>
  <si>
    <t>MARTÍN FERNANDO GÓMEZ CASTILLO</t>
  </si>
  <si>
    <t>MAHUIDANCHE 8838</t>
  </si>
  <si>
    <t>fernandomartincastillo2004@gmail.com</t>
  </si>
  <si>
    <t>22119491-8</t>
  </si>
  <si>
    <t>MARTINA IGNACIA FUENZALIDA GONZÁLEZ</t>
  </si>
  <si>
    <t>TÉCNICO EN GASTRONOMÍA</t>
  </si>
  <si>
    <t>martinafuenzalida1212@gmail.com</t>
  </si>
  <si>
    <t>11636224-4</t>
  </si>
  <si>
    <t>MAURICIO EDUARDO RIFFO SEGUEL</t>
  </si>
  <si>
    <t>PASAJE CONSTITUCIÓN 1369</t>
  </si>
  <si>
    <t xml:space="preserve">mriffoseguel@gmail.com </t>
  </si>
  <si>
    <t>18370722-1</t>
  </si>
  <si>
    <t>MIGUEL ANGEL ESPINOZA CERDA</t>
  </si>
  <si>
    <t>PASEO GRONERT 5685 A, DEPTO 108</t>
  </si>
  <si>
    <t xml:space="preserve">miguelespinozacerda1@gmail.com </t>
  </si>
  <si>
    <t>24672620-8</t>
  </si>
  <si>
    <t>MÓNICA CERTUCHE CONCHA</t>
  </si>
  <si>
    <t>TÉCNICO EN ENFERMERÍA</t>
  </si>
  <si>
    <t>SAN DIEGO 313, DEPARTAMENTO 918</t>
  </si>
  <si>
    <t>Monik91405@gmail.com</t>
  </si>
  <si>
    <t>25932305-3</t>
  </si>
  <si>
    <t>NORELYS JOSEFINA ANDUEZA GIL</t>
  </si>
  <si>
    <t>CURIÑANCA 830 DPTO 504</t>
  </si>
  <si>
    <t>SAN MIGUEL</t>
  </si>
  <si>
    <t xml:space="preserve">Norelysjag@gmail.com </t>
  </si>
  <si>
    <t>12262039-5</t>
  </si>
  <si>
    <t>PATRICIA CECILIA BUSTAMANTE CONTRERAS</t>
  </si>
  <si>
    <t>RELACIONADOR PÚBLICO</t>
  </si>
  <si>
    <t>SANTO DOMINGO 1355, DEPTO 2102</t>
  </si>
  <si>
    <t>Pbustamante1@gmail.com</t>
  </si>
  <si>
    <t>27580750-8</t>
  </si>
  <si>
    <t>SAMUEL RAMON VELÁSQUEZ ZERPA</t>
  </si>
  <si>
    <t>COMPAÑÍA DE JESUS 1789</t>
  </si>
  <si>
    <t>samuelrvelasquezz@gmail.com</t>
  </si>
  <si>
    <t>15791551-7</t>
  </si>
  <si>
    <t>SELMA ELISA VILLANUEVA SALGADO</t>
  </si>
  <si>
    <t>MARCELA PAZ PONIENTE 1397</t>
  </si>
  <si>
    <t>alibru2201@gmail.com</t>
  </si>
  <si>
    <t>15991168-3</t>
  </si>
  <si>
    <t>SIMÓN ANDRÉS FLORES SANDOVAL</t>
  </si>
  <si>
    <t>MAESTRO DE CONSTRUCCIÓN</t>
  </si>
  <si>
    <t>GRAN AVENIDA 12030</t>
  </si>
  <si>
    <t>EL BOSQUE</t>
  </si>
  <si>
    <t>simonfsfinix@gmail.com</t>
  </si>
  <si>
    <t>22297731-2</t>
  </si>
  <si>
    <t>SIMON YOSHUA CHACANA PONCE</t>
  </si>
  <si>
    <t>MARCELA PAZ SUR PASAJE NIRRE 1431</t>
  </si>
  <si>
    <t>Chacanasimon17@gmail.com</t>
  </si>
  <si>
    <t>28470410-K</t>
  </si>
  <si>
    <t>STEPHANY TUA NUÑEZ</t>
  </si>
  <si>
    <t>AV GRECIA 1051</t>
  </si>
  <si>
    <t>Stephanytua.mla@gmail.com</t>
  </si>
  <si>
    <t>18329453-9</t>
  </si>
  <si>
    <t>TIARE GISELLE CASTILLO IBARRA</t>
  </si>
  <si>
    <t>RUSIA 1522</t>
  </si>
  <si>
    <t>tiarecastilloi14@hotmail.com</t>
  </si>
  <si>
    <t>19183023-7</t>
  </si>
  <si>
    <t>VALERIA CECILIA MUÑOZ VERA</t>
  </si>
  <si>
    <t>MARKETING Y GESTIÓN COMERCIAL</t>
  </si>
  <si>
    <t>CONDOR 745 CASA P</t>
  </si>
  <si>
    <t>Valeriamunozvera@gmail.com</t>
  </si>
  <si>
    <t>BANCO ITAÚ</t>
  </si>
  <si>
    <t>19418316-K</t>
  </si>
  <si>
    <t>VANESSA MARION MEDINA CONTRERAS</t>
  </si>
  <si>
    <t>AV. JUANITA 1446</t>
  </si>
  <si>
    <t>vmedinaa18@gmail.com</t>
  </si>
  <si>
    <t>19741832-K</t>
  </si>
  <si>
    <t>VANIA FERNANDA UTRERA SOTO</t>
  </si>
  <si>
    <t>SITIO #9, SECTOR LOS AROMOS</t>
  </si>
  <si>
    <t>Vaniautrera24@gmail.com</t>
  </si>
  <si>
    <t>17776104-4</t>
  </si>
  <si>
    <t>VERONICA ANDREA GONZÁLEZ LOZA</t>
  </si>
  <si>
    <t>ESTILISTA</t>
  </si>
  <si>
    <t>LOS ARROYUELOS 1359</t>
  </si>
  <si>
    <t>veangolo@gmail.com</t>
  </si>
  <si>
    <t>13913613-6</t>
  </si>
  <si>
    <t>VERONICA ANDREA VALDIVIA TOBAR</t>
  </si>
  <si>
    <t>SALVADOR SANFENTES 154 CASA 29</t>
  </si>
  <si>
    <t>Verohalford@hotmail.com</t>
  </si>
  <si>
    <t>TENPO</t>
  </si>
  <si>
    <t>14346339-7</t>
  </si>
  <si>
    <t>VICENTE EDUARDO SAN MARTÍN URRA</t>
  </si>
  <si>
    <t>RÍO BUENO 6772</t>
  </si>
  <si>
    <t>vicentesanmartin57@gmail.com</t>
  </si>
  <si>
    <t>19812624-1</t>
  </si>
  <si>
    <t>YULIANO ALEXANDER JIMÉNEZ MARIN</t>
  </si>
  <si>
    <t>QUEBRADA DEL SALADO 1149</t>
  </si>
  <si>
    <t>yuliano.jimenez2022@gmail.com</t>
  </si>
  <si>
    <t>11197545-0</t>
  </si>
  <si>
    <t>VERONICA MEDINA ARMIJO</t>
  </si>
  <si>
    <t>PASAJE JUAN XXIII 2388</t>
  </si>
  <si>
    <t>medinava49@gmail.com</t>
  </si>
  <si>
    <t>12272359-3</t>
  </si>
  <si>
    <t>XIMENA DEL CARMEN LOPEZ ROZAS</t>
  </si>
  <si>
    <t>EL MEDIANERO  3170</t>
  </si>
  <si>
    <t>Ximemamitalinda@gmail.com</t>
  </si>
  <si>
    <t>10471701-2</t>
  </si>
  <si>
    <t>LIDIA MÓNICA FLORES BRAVO</t>
  </si>
  <si>
    <t>PASAJE ESCANDIO #1732</t>
  </si>
  <si>
    <t xml:space="preserve">Monifloresbravo@gmail.com </t>
  </si>
  <si>
    <t>26629037-3</t>
  </si>
  <si>
    <t>ADRIANA GABRIELA PARRA VALERO</t>
  </si>
  <si>
    <t>BEZANILLA 1410, DPTO 1211</t>
  </si>
  <si>
    <t>INDEPENDENCIA</t>
  </si>
  <si>
    <t xml:space="preserve">adrip.valero@gmail.com </t>
  </si>
  <si>
    <t>15341243-K</t>
  </si>
  <si>
    <t>ALICIA ANDREA ARCOS ZANGA</t>
  </si>
  <si>
    <t>CORREDORA DE PROPIEDADES</t>
  </si>
  <si>
    <t>GENERAL EDUARDO YAÑEZ 1100 DPTO L501</t>
  </si>
  <si>
    <t xml:space="preserve">a.arcos.z@gmail.com </t>
  </si>
  <si>
    <t>12925330-4</t>
  </si>
  <si>
    <t>BORIS AXEL OLIVERA</t>
  </si>
  <si>
    <t>EYZAGUIRRE 3318</t>
  </si>
  <si>
    <t>Borisolivera777@gmail.com</t>
  </si>
  <si>
    <t>26278328-7</t>
  </si>
  <si>
    <t>CARLOS AVELARDO KARKOUR ACHKAR</t>
  </si>
  <si>
    <t>ENRIQUE MAC IVER 524 DEPARTAMENTO 402</t>
  </si>
  <si>
    <t>Carloskarkour@hotmail.com</t>
  </si>
  <si>
    <t>BANCO SANTANDER</t>
  </si>
  <si>
    <t>25025571-3</t>
  </si>
  <si>
    <t>CHANNY MARIENNE VÉLIZ RAMÍREZ</t>
  </si>
  <si>
    <t>PASAJE VENTANA 552 VILLA EL DESCANZO</t>
  </si>
  <si>
    <t>channyvr76@gmail.com</t>
  </si>
  <si>
    <t>PERUANO/A</t>
  </si>
  <si>
    <t>FERIA EMPLEO</t>
  </si>
  <si>
    <t>28579784-5</t>
  </si>
  <si>
    <t>DOUGLAS DAVINSON SUNIAGA GUZMÁN</t>
  </si>
  <si>
    <t>CALLE BAQUEDANO 9354D. APTO 12D</t>
  </si>
  <si>
    <t>dsuniaga072@gmail.com</t>
  </si>
  <si>
    <t>26235191-2</t>
  </si>
  <si>
    <t>FELIX ENRIQUE FUENTES LOZADA</t>
  </si>
  <si>
    <t>RADAL 0102 DEPARTAMENTO 201</t>
  </si>
  <si>
    <t>Yorkisgonzalez26@gmail.com</t>
  </si>
  <si>
    <t>20330881-7</t>
  </si>
  <si>
    <t>JAZMIN ELENA JARA MARTINEZ</t>
  </si>
  <si>
    <t>CAMINO EL ROMERAL 63 SITIO 2</t>
  </si>
  <si>
    <t>Jarajazmin2501@gmail.com</t>
  </si>
  <si>
    <t>11947101-K</t>
  </si>
  <si>
    <t>KATHERINE MORAGA SALINAS</t>
  </si>
  <si>
    <t>INGENIERA LICENCIADA EN MARKETING</t>
  </si>
  <si>
    <t>AV JOSÉ PEDRO ALESSANDRI 380, DEPTO 12-F</t>
  </si>
  <si>
    <t xml:space="preserve">kathymoragas72@gmail.com </t>
  </si>
  <si>
    <t>15970687-7</t>
  </si>
  <si>
    <t>LETICIA ANDREA CAMPOS GALAZ</t>
  </si>
  <si>
    <t>ALPHA 8905</t>
  </si>
  <si>
    <t>leticia34campos@gmail.com</t>
  </si>
  <si>
    <t>13838832-8</t>
  </si>
  <si>
    <t>MARIEL GAETE MORENO</t>
  </si>
  <si>
    <t>LOS DURAZNOS 1758A</t>
  </si>
  <si>
    <t>marielgaetemoreno@gmail.com</t>
  </si>
  <si>
    <t>7197987-3</t>
  </si>
  <si>
    <t>NEWTON O. TAPIA MORALES</t>
  </si>
  <si>
    <t>JUAN JOSÉ ROMO 731</t>
  </si>
  <si>
    <t>newtontapiamorales@gmail.com</t>
  </si>
  <si>
    <t>19731174-6</t>
  </si>
  <si>
    <t>REYNA VALERIA MUÑOZ LOBOS</t>
  </si>
  <si>
    <t>AMÉRICO VESPUCIO 0851, DPTO 32</t>
  </si>
  <si>
    <t>LA GRANJA</t>
  </si>
  <si>
    <t>reyna1997valeria11@gmail.com</t>
  </si>
  <si>
    <t>28522439-K</t>
  </si>
  <si>
    <t>ROSA PINEDA</t>
  </si>
  <si>
    <t>CARRION 1346</t>
  </si>
  <si>
    <t>rosapin1510@gmail.com</t>
  </si>
  <si>
    <t>7687286-4</t>
  </si>
  <si>
    <t>WILSON MARIO ARREDONDO PIZARRO</t>
  </si>
  <si>
    <t>JUJUY 1824</t>
  </si>
  <si>
    <t xml:space="preserve">wilson.arredondop@gmail.com </t>
  </si>
  <si>
    <t>13707068-5</t>
  </si>
  <si>
    <t>AISSA IVONNE VILLANUEVA SALGADO</t>
  </si>
  <si>
    <t>MARCELA PAZ NORTE 2533</t>
  </si>
  <si>
    <t>17314270-6</t>
  </si>
  <si>
    <t>DINELLY LILA ARLETTE PÉREZ COFRÉ</t>
  </si>
  <si>
    <t>AZAHARES 8596</t>
  </si>
  <si>
    <t>dinelly.perez.cofre@hotmail.com</t>
  </si>
  <si>
    <t>15182949-0</t>
  </si>
  <si>
    <t>FRANCISCO JAVIER FUENTEALBA OTAROLA</t>
  </si>
  <si>
    <t>DISEÑADOR GRÁFICO</t>
  </si>
  <si>
    <t>JOSÉ MIGUEL CARRERA 403</t>
  </si>
  <si>
    <t>francisco.fuenteota40@gmail.com</t>
  </si>
  <si>
    <t>24821522-4</t>
  </si>
  <si>
    <t>LINA MARÍA TABARES PERDOMO</t>
  </si>
  <si>
    <t>MAPOCHO  3549, DEPTO 1010</t>
  </si>
  <si>
    <t>didierfabian0316@gmail.com</t>
  </si>
  <si>
    <t>COLOMBIANO/A</t>
  </si>
  <si>
    <t>15875325-1</t>
  </si>
  <si>
    <t>PILAR CRISTEL VERA NORAMBUENA</t>
  </si>
  <si>
    <t>PALMA REAL 467</t>
  </si>
  <si>
    <t>verpilar@gmail.com</t>
  </si>
  <si>
    <t>21730612-4</t>
  </si>
  <si>
    <t>SALVADOR SANTIAGO CEPEDA VALDES</t>
  </si>
  <si>
    <t>PASAJE LIDIA 1266</t>
  </si>
  <si>
    <t>Salvadani54@gmail.com</t>
  </si>
  <si>
    <t>15410402-0</t>
  </si>
  <si>
    <t>SERGIO ANDRÉS RAMÍREZ CAVIERES</t>
  </si>
  <si>
    <t>AV. INDEPENDENCIA 1421</t>
  </si>
  <si>
    <t>roofingprotectchile@gmail.com</t>
  </si>
  <si>
    <t>JOSÉ PAVÉZ</t>
  </si>
  <si>
    <t>8147604-7</t>
  </si>
  <si>
    <t>EMA DE LA CRUZ PINAR PINAR</t>
  </si>
  <si>
    <t>PODOLOGA</t>
  </si>
  <si>
    <t>NORUEGA 0395,</t>
  </si>
  <si>
    <t>emapinar61@gmail.com</t>
  </si>
  <si>
    <t>7062491-0</t>
  </si>
  <si>
    <t>JEANNETTE MÓNICA FLORES LAGOS</t>
  </si>
  <si>
    <t>MEULIN 3338</t>
  </si>
  <si>
    <t>jeanmonike@hotmail.com</t>
  </si>
  <si>
    <t>10060411-6</t>
  </si>
  <si>
    <t>MANUEL MARCELO CONSTANCIO AVALOS</t>
  </si>
  <si>
    <t>VISITADOR MÉDICO</t>
  </si>
  <si>
    <t>AV GRECIA 4515, DEPTO 23</t>
  </si>
  <si>
    <t>mmconstancio@hotmail.com</t>
  </si>
  <si>
    <t>12467058-6</t>
  </si>
  <si>
    <t>MARCELA LEON POBLETE</t>
  </si>
  <si>
    <t>ALVAREZ DE TOLEDO 880</t>
  </si>
  <si>
    <t>marcela.leon2006@gmail.com</t>
  </si>
  <si>
    <t>8125167-3</t>
  </si>
  <si>
    <t>MAURICIO EDUARDO OSORIO CARRASCO</t>
  </si>
  <si>
    <t>JORGE WASHINGTON 441, DEPTO 703</t>
  </si>
  <si>
    <t xml:space="preserve">mauricioeosorio@gmail.com </t>
  </si>
  <si>
    <t>WALTER FERRO</t>
  </si>
  <si>
    <t>ASESOR UA</t>
  </si>
  <si>
    <t>13831497-9</t>
  </si>
  <si>
    <t>ALEXANDER ZAHLHAAS ORTEGA</t>
  </si>
  <si>
    <t>DISEÑADOR INDUSTRIAL</t>
  </si>
  <si>
    <t>MONROE 7841</t>
  </si>
  <si>
    <t>LAS CONDES</t>
  </si>
  <si>
    <t>alexander.az@gmail.com</t>
  </si>
  <si>
    <t>17281971-0</t>
  </si>
  <si>
    <t>PATRICIA QUILAQUEO PONTILLO</t>
  </si>
  <si>
    <t>ROBINSON CRUSOE 952</t>
  </si>
  <si>
    <t>RECOLETA</t>
  </si>
  <si>
    <t>quilaqueo.patricia@gmail.com</t>
  </si>
  <si>
    <t>DISTRITO PUENTE ALTO</t>
  </si>
  <si>
    <t>RODOLFO SANTANA</t>
  </si>
  <si>
    <t>17484981-1</t>
  </si>
  <si>
    <t>OCTAVIO FRANCISCO SANTIBÁÑEZ GALLARDO</t>
  </si>
  <si>
    <t>ASESOR INMOBILIARIA</t>
  </si>
  <si>
    <t>MIRADOR AZUL 1484</t>
  </si>
  <si>
    <t>Octaviosantibanez1308@gmail.com</t>
  </si>
  <si>
    <t>JENIFER MEJÍAS</t>
  </si>
  <si>
    <t>15356090-0</t>
  </si>
  <si>
    <t>TANIA KARINA GALLI SEPÚLVEDA</t>
  </si>
  <si>
    <t>EDUCADORA DE PÁRVULOS</t>
  </si>
  <si>
    <t>COMPAÑÍA DE JESÚS 2633 DPTO 425 D</t>
  </si>
  <si>
    <t>taniagalli.sepulveda@gmail.com</t>
  </si>
  <si>
    <t>UNIÓN LIBRE</t>
  </si>
  <si>
    <t>CAMILO MEDEL</t>
  </si>
  <si>
    <t>26049434-1</t>
  </si>
  <si>
    <t>GILBERT MORENO CUEVAS DUVAL</t>
  </si>
  <si>
    <t>TÉCNICO EN TELECOMUNICACIONES</t>
  </si>
  <si>
    <t>LUIS URIBE 14867</t>
  </si>
  <si>
    <t xml:space="preserve">Morenoduval8@gmail.com </t>
  </si>
  <si>
    <t>REPÚBLICA DOMINICANA</t>
  </si>
  <si>
    <t>PAOLA ARANCIBIA</t>
  </si>
  <si>
    <t>11743795-7</t>
  </si>
  <si>
    <t>PAMELA GAETE SANTANDER</t>
  </si>
  <si>
    <t>EDUCADORA</t>
  </si>
  <si>
    <t>CALLE LLAY LLAY 3324</t>
  </si>
  <si>
    <t>pamegaetes@gmail.com</t>
  </si>
  <si>
    <t>26808914-4</t>
  </si>
  <si>
    <t>JESÚS RAMON VILLEGAS VILLAVICENCIO</t>
  </si>
  <si>
    <t>LICENCIADO EN ADMINISTRACIÓN</t>
  </si>
  <si>
    <t>HERMANOS CARRERA 2727</t>
  </si>
  <si>
    <t>jesusvillegasvillavicencio@gmail.com</t>
  </si>
  <si>
    <t>CHILE</t>
  </si>
  <si>
    <t>16236018-3</t>
  </si>
  <si>
    <t>MAURICIO OLIVARES FUENTES</t>
  </si>
  <si>
    <t>INGENIERO</t>
  </si>
  <si>
    <t>ALBERTO BLEST GANA 4213</t>
  </si>
  <si>
    <t>Mauricioolivares197303@gmail.com</t>
  </si>
  <si>
    <t>SEPARADO/A</t>
  </si>
  <si>
    <t>15797109-3</t>
  </si>
  <si>
    <t>EDGARDO ANDRÉS MEZA  ANTILEF</t>
  </si>
  <si>
    <t>TOMAS ANDRÉW80</t>
  </si>
  <si>
    <t xml:space="preserve">Edgardoandresmeza@gmail.com </t>
  </si>
  <si>
    <t>10643096-9</t>
  </si>
  <si>
    <t>MARCO MARDONES</t>
  </si>
  <si>
    <t>ADMINISTRACIÓN</t>
  </si>
  <si>
    <t>LO MARTINEZ 1165 CASA 84</t>
  </si>
  <si>
    <t>ISLA DE MAIPO</t>
  </si>
  <si>
    <t>marco.mardones@efuneraria.cl</t>
  </si>
  <si>
    <t>JESÚS VILLEGAS</t>
  </si>
  <si>
    <t>20095688-5</t>
  </si>
  <si>
    <t>LEONARDO ANTONIO CANALES VIDAL</t>
  </si>
  <si>
    <t>ESTUDIANTE DE INGENIERÍA EN ADMINISTRACIÓN MENCIÓN INNOVACIÓN Y EMPRENDIMIENTO</t>
  </si>
  <si>
    <t>RIO MAULE 2750, CASA 47</t>
  </si>
  <si>
    <t>LAMPA</t>
  </si>
  <si>
    <t>leonardocanalesvidal@gmail.com</t>
  </si>
  <si>
    <t>29022385-8</t>
  </si>
  <si>
    <t>YULY JOSEFINA MORENO</t>
  </si>
  <si>
    <t>HISTORIADORA Y ABOGADA</t>
  </si>
  <si>
    <t>RADAL 0201</t>
  </si>
  <si>
    <t>Josefinamoreno370@gmail.com</t>
  </si>
  <si>
    <t>TOP PERFORMANCE</t>
  </si>
  <si>
    <t>16877597-0</t>
  </si>
  <si>
    <t>STEFANY GONZALEZ</t>
  </si>
  <si>
    <t>CAMINO EL ANIZ 16411</t>
  </si>
  <si>
    <t>Estefany.eiv.servicios@gmail.com</t>
  </si>
  <si>
    <t>11993239-4</t>
  </si>
  <si>
    <t>INGRID VERONICA ZÚÑIGA LLORENS</t>
  </si>
  <si>
    <t>LO HERRADURA ORIENTE 18934</t>
  </si>
  <si>
    <t>zunigallorens@gmail.com</t>
  </si>
  <si>
    <t>26832031-8</t>
  </si>
  <si>
    <t>MARILYN DEL CARMEN URQUIOLA PACHECO</t>
  </si>
  <si>
    <t>GRAN AVENIDA 4697, DEPTO 1414</t>
  </si>
  <si>
    <t>m.urquiolap@gmail.com</t>
  </si>
  <si>
    <t>19904597-0</t>
  </si>
  <si>
    <t>ALONDRA PAVEZ DIAZ</t>
  </si>
  <si>
    <t>TTE MERINO 3468</t>
  </si>
  <si>
    <t>Trabajos.apavez@gmail.com</t>
  </si>
  <si>
    <t>21778712-2</t>
  </si>
  <si>
    <t>CRISTÓBAL MAXIMILIANO CORREA CONTRERAS</t>
  </si>
  <si>
    <t>CARD JOSÉ MARÍA CARO 5043</t>
  </si>
  <si>
    <t>cristobalcorrea2017@gmail.com</t>
  </si>
  <si>
    <t>24023512-9</t>
  </si>
  <si>
    <t>FELIX DIEGO HUAMAN ARTEAGA</t>
  </si>
  <si>
    <t>TÉCNOLOGO DE MERCADEO</t>
  </si>
  <si>
    <t>CALLE CONDE DEL MAULE 4364, DEPTO 2621</t>
  </si>
  <si>
    <t>jorgejaramillo8521@gmail.com</t>
  </si>
  <si>
    <t>MERCADO PAGO</t>
  </si>
  <si>
    <t>20573599-2</t>
  </si>
  <si>
    <t>IGNACIA FELIU BRAVO</t>
  </si>
  <si>
    <t>BAQUEDANO 2010</t>
  </si>
  <si>
    <t>ignaciafeliu26@gmail.com</t>
  </si>
  <si>
    <t>20562055-9</t>
  </si>
  <si>
    <t>KIMBERLY ASHLEY AHUMADA LEITON</t>
  </si>
  <si>
    <t>PASAJE PUNITAQUI 808</t>
  </si>
  <si>
    <t>Kimita.prince18@gmail.com</t>
  </si>
  <si>
    <t>8823399-9</t>
  </si>
  <si>
    <t>MARIA ANGELICA HERRERA PEÑA</t>
  </si>
  <si>
    <t>PJE. 34 1781</t>
  </si>
  <si>
    <t>angelicaromi@gmail.com</t>
  </si>
  <si>
    <t>10646088-4</t>
  </si>
  <si>
    <t>MARÍA TERESA DE JESÚS COLLIO CRISÓSTOMO</t>
  </si>
  <si>
    <t>PJE. 20 SUR</t>
  </si>
  <si>
    <t>LO ESPEJO</t>
  </si>
  <si>
    <t>colliocrisostomomariateresa@gmail.com</t>
  </si>
  <si>
    <t>8814661-1</t>
  </si>
  <si>
    <t>MYRIAM QUIROZ CHILCUMPA</t>
  </si>
  <si>
    <t>SANTIAGO DEL CAMPO 4197</t>
  </si>
  <si>
    <t>myriamquirozch@gmail.com</t>
  </si>
  <si>
    <t>19912439-0</t>
  </si>
  <si>
    <t>NICOL PATRICIA RIOS SILVA</t>
  </si>
  <si>
    <t>LICENCIADO EN TRABAJO SOCIAL</t>
  </si>
  <si>
    <t>FRIDA KAHLO, VILLA LOS PORTALES 118</t>
  </si>
  <si>
    <t>rios.nicol1998@gmail.com</t>
  </si>
  <si>
    <t>27187946-6</t>
  </si>
  <si>
    <t>YRIS HERNÁNDEZ</t>
  </si>
  <si>
    <t>SARGENTO ALDEA 1461</t>
  </si>
  <si>
    <t>yrisshm@gmail.com</t>
  </si>
  <si>
    <t>17382276-6</t>
  </si>
  <si>
    <t>ZRINKA ANGELICA VENEGAS OLEA</t>
  </si>
  <si>
    <t>MILLAHUE 4582</t>
  </si>
  <si>
    <t>zv.ejecutivaclarochile@gmail.com</t>
  </si>
  <si>
    <t>LÍDER DE EQUIPO UA</t>
  </si>
  <si>
    <t>28782872-1</t>
  </si>
  <si>
    <t>CAMINO LA HERRERÍA 3159</t>
  </si>
  <si>
    <t>walterferroescobar@gmail.com</t>
  </si>
  <si>
    <t>GUATEMALTECO/A</t>
  </si>
  <si>
    <t>13896930-4</t>
  </si>
  <si>
    <t>RODRIGO ANDRÉS ÁLVAREZ INOSTROZA</t>
  </si>
  <si>
    <t>ENTRENADOR DEPORTIVO</t>
  </si>
  <si>
    <t>PASAJE PUNTA CHILÉN N° 4028</t>
  </si>
  <si>
    <t>rodrigo7alvarez@gmail.com</t>
  </si>
  <si>
    <t>ESTEFANI GONZÁLEZ</t>
  </si>
  <si>
    <t>13076460-6</t>
  </si>
  <si>
    <t>CRISTIAN FERNANDO VILLANUEVA SALGADO</t>
  </si>
  <si>
    <t>ELECTRICISTA</t>
  </si>
  <si>
    <t>EL CANELO 2325</t>
  </si>
  <si>
    <t>cristian.villanueva.uber@gmail.com</t>
  </si>
  <si>
    <t>13289205-9</t>
  </si>
  <si>
    <t>MARCELO CISTERNA LEÓN</t>
  </si>
  <si>
    <t>ING COMERCIAL</t>
  </si>
  <si>
    <t>IRARRAZAVAL 435, DEPTO 702</t>
  </si>
  <si>
    <t>marcelocisterna@gmail.com</t>
  </si>
  <si>
    <t>11836089-3</t>
  </si>
  <si>
    <t>MARÍA GONZÁLEZ</t>
  </si>
  <si>
    <t>LIBERTADOR DE CHILE 2978</t>
  </si>
  <si>
    <t>Merygon_zalez@hotmail.com</t>
  </si>
  <si>
    <t>11626003-4</t>
  </si>
  <si>
    <t>EVITA FELICINDA ULLOA MUÑOZ</t>
  </si>
  <si>
    <t>ASESORA COMERCIAL</t>
  </si>
  <si>
    <t>DIEGO BARROS ORTIZ 1570</t>
  </si>
  <si>
    <t>ulloa.evita@gmail.com</t>
  </si>
  <si>
    <t>17779681-6</t>
  </si>
  <si>
    <t>KATHERINE ANDREA ROMERO MILLÁN</t>
  </si>
  <si>
    <t>TÉCNICO EN TURISMO</t>
  </si>
  <si>
    <t>EL ARENAL 1770</t>
  </si>
  <si>
    <t>Katherine.rmillan@gmail.com</t>
  </si>
  <si>
    <t>26776529-4</t>
  </si>
  <si>
    <t>VANESSA CAROLINA GONZÁLEZ URIBE</t>
  </si>
  <si>
    <t>ABOGADO</t>
  </si>
  <si>
    <t>VISVIRI 1550, DEPTO 35</t>
  </si>
  <si>
    <t>Vanessagonzalez277@gmail.com</t>
  </si>
  <si>
    <t>26744348-3</t>
  </si>
  <si>
    <t>ASDREYM CAROLINA GUILLEN VALDES</t>
  </si>
  <si>
    <t>CONTADOR PÚBLICO</t>
  </si>
  <si>
    <t>BELLAVISTA 185, DEPTO 1806</t>
  </si>
  <si>
    <t>Carolinaguillen173@gmail.com</t>
  </si>
  <si>
    <t>GONZALO AGUILERA</t>
  </si>
  <si>
    <t>8938826-0</t>
  </si>
  <si>
    <t>ELIANA INÉS SAN MARTÍN CARTES</t>
  </si>
  <si>
    <t>AVENIDA LA FLORIDA 10269, DEPTO 211</t>
  </si>
  <si>
    <t>sanmartincartes21@gmail.com</t>
  </si>
  <si>
    <t>19064968-7</t>
  </si>
  <si>
    <t>CAMILA ANDREA CORTES ESPINOZA</t>
  </si>
  <si>
    <t>EL SALITRE 715</t>
  </si>
  <si>
    <t>PUDAHUEL</t>
  </si>
  <si>
    <t>Cortesespinozac@gmail.com</t>
  </si>
  <si>
    <t>INGRID BASAURE</t>
  </si>
  <si>
    <t>20020439-5</t>
  </si>
  <si>
    <t>ANGELA CRISTINA CATALÁN CASTILLO</t>
  </si>
  <si>
    <t>CERRO SAN LUIS 169</t>
  </si>
  <si>
    <t>Angelacatalancastillo@gmail.com</t>
  </si>
  <si>
    <t>10707207-1</t>
  </si>
  <si>
    <t>CAROLINA ANDREA RAULD PARRA</t>
  </si>
  <si>
    <t>AUKA 165  DPTO 32</t>
  </si>
  <si>
    <t>Karolina.rauldp.lda@gmail.com</t>
  </si>
  <si>
    <t>19739643-1</t>
  </si>
  <si>
    <t>FELIPE IGNACIO CIFUENTES GONZÁLEZ</t>
  </si>
  <si>
    <t>ÁLVARO CASANOVA 927 DPTO 0</t>
  </si>
  <si>
    <t>PEÑALOLÉN</t>
  </si>
  <si>
    <t>felipe.cifuentes@outlook.com</t>
  </si>
  <si>
    <t>19288337-7</t>
  </si>
  <si>
    <t>JAEL CAROLINA PEÑA SILVA</t>
  </si>
  <si>
    <t>VARGAS BUSTON 976 DPTO 614</t>
  </si>
  <si>
    <t>jaelp4453@gmail.com</t>
  </si>
  <si>
    <t>25703140-3</t>
  </si>
  <si>
    <t>JAZMIN ANTUANETTE CORREA FERNÁNDEZ</t>
  </si>
  <si>
    <t>RAMÓN ROSALES 1063 DPTO 113</t>
  </si>
  <si>
    <t>Jazmincorrea68@hotmail.com</t>
  </si>
  <si>
    <t>18724330-0</t>
  </si>
  <si>
    <t>STEFANI SOLEDAD PAVEZ SILVA</t>
  </si>
  <si>
    <t>ANTUPIREN 10001 TORRE L DPTO202</t>
  </si>
  <si>
    <t>stefani.pavez1@gmail.com</t>
  </si>
  <si>
    <t>18737219-4</t>
  </si>
  <si>
    <t>ANA MARÍA LIZAMA HERNÁNDEZ</t>
  </si>
  <si>
    <t>CESANTE</t>
  </si>
  <si>
    <t>GENERAL MORA 4317</t>
  </si>
  <si>
    <t>PEDRO AGUIRRE</t>
  </si>
  <si>
    <t>ana.lizama1994@gmail.com</t>
  </si>
  <si>
    <t>17230565-2</t>
  </si>
  <si>
    <t>FABIOLA ANDREA URRA FERNÁNDEZ</t>
  </si>
  <si>
    <t>SUPERVISOR DE TRÁFICO</t>
  </si>
  <si>
    <t>AV PEDRO DONOSO VERGARA 358</t>
  </si>
  <si>
    <t>Fabiola.urra123@gmail.com</t>
  </si>
  <si>
    <t>14750432-2</t>
  </si>
  <si>
    <t>AMANDA VIVIANA VALDEZ CARAZA</t>
  </si>
  <si>
    <t>ADM. DE EMPRESAS</t>
  </si>
  <si>
    <t>FUNDACIÓN LIBERTAD 2726</t>
  </si>
  <si>
    <t>Amanda.valdez@live.cl</t>
  </si>
  <si>
    <t>21913437-1</t>
  </si>
  <si>
    <t>DANILO ALEXIS VASQUEZ ACEVEDO</t>
  </si>
  <si>
    <t>PASAJE QUILICURA 3096</t>
  </si>
  <si>
    <t>Danilo.alexis.vasquez@gmail.com</t>
  </si>
  <si>
    <t>21674554-K</t>
  </si>
  <si>
    <t>FRANCISCA ALEXIA VALENZUELA ESPINOZA</t>
  </si>
  <si>
    <t>COSMETOLOGA</t>
  </si>
  <si>
    <t>LOS QUIÑES 1160</t>
  </si>
  <si>
    <t>Francisca.v.espinoza@gmail.com</t>
  </si>
  <si>
    <t>22011327-2</t>
  </si>
  <si>
    <t>IAN JOSUE GARRIDO JARA</t>
  </si>
  <si>
    <t>LA HABANA 1015</t>
  </si>
  <si>
    <t>ian.garrido.gfa@gmail.com</t>
  </si>
  <si>
    <t>COOPEUCH</t>
  </si>
  <si>
    <t>18626834-2</t>
  </si>
  <si>
    <t>MARÍA ISABEL FARA PULGAR</t>
  </si>
  <si>
    <t>PROFESORA</t>
  </si>
  <si>
    <t>ANTUMALAL 636</t>
  </si>
  <si>
    <t>mariafara444@gmail.com</t>
  </si>
  <si>
    <t>15416694-7</t>
  </si>
  <si>
    <t>YESENIA SOLEDAD FERENUS HENRÍQUEZ</t>
  </si>
  <si>
    <t>SASTRERÍA</t>
  </si>
  <si>
    <t>AV PRINCIPAL 737</t>
  </si>
  <si>
    <t>ferenusyesenia@gmail.com</t>
  </si>
  <si>
    <t>15566026-0</t>
  </si>
  <si>
    <t>INGRID BASAURE ZARATE</t>
  </si>
  <si>
    <t>TÉCNICO EN RRHH</t>
  </si>
  <si>
    <t>LA FINCA 914 CASA 111 CONDOMINIO LAS PATAGUAS 7 .</t>
  </si>
  <si>
    <t>Ingridbasau@hotmail.com</t>
  </si>
  <si>
    <t>20614385-1</t>
  </si>
  <si>
    <t>FRANCISCA BELÉN HUENCHUL CARRASCO</t>
  </si>
  <si>
    <t>MARIA MAGDALENA, 67</t>
  </si>
  <si>
    <t>fran.huenchul09@gmail.com</t>
  </si>
  <si>
    <t>16071154-K</t>
  </si>
  <si>
    <t>GONZALO FELIPE AGUILERA AMENGUAL</t>
  </si>
  <si>
    <t>PADRE JOSE MOSCADA 0511</t>
  </si>
  <si>
    <t>Gonguilera@hotmail.com</t>
  </si>
  <si>
    <t>26554477-0</t>
  </si>
  <si>
    <t>ANDREA DANIELA OLIVEROS GUTIÉRREZ</t>
  </si>
  <si>
    <t>LICENCIADA EN EDUCACIÓN PARVULARIA</t>
  </si>
  <si>
    <t>JOAQUÍN UNDURRAGA PARCELA 8 SECTOR LO VARGAS</t>
  </si>
  <si>
    <t>anoliveros2021@gmail.com</t>
  </si>
  <si>
    <t>26004134-7</t>
  </si>
  <si>
    <t>ANDREINA DEL VALLE MÉNDEZ ZAMBRANO</t>
  </si>
  <si>
    <t>INGENIERO INDUSTRIAL</t>
  </si>
  <si>
    <t>LOS OLMOS 3256</t>
  </si>
  <si>
    <t>andreinamendez1@gmail.com</t>
  </si>
  <si>
    <t>16662607-2</t>
  </si>
  <si>
    <t>CRISTIAN DUQUE</t>
  </si>
  <si>
    <t>PELUQUERO CANINO</t>
  </si>
  <si>
    <t>VIRGINIA SUBERCASEAUX 4000</t>
  </si>
  <si>
    <t>PIRQUE</t>
  </si>
  <si>
    <t>crist.duke@live.com</t>
  </si>
  <si>
    <t>20237071-3</t>
  </si>
  <si>
    <t>CRISTOBAL JESUS BAEZA MILLER</t>
  </si>
  <si>
    <t>AUXILIAR DE AVIACION</t>
  </si>
  <si>
    <t>MARIA MAGDALENA 208</t>
  </si>
  <si>
    <t>cristobaljbm@gmail.com</t>
  </si>
  <si>
    <t>9038147-4</t>
  </si>
  <si>
    <t>DANIELA SALAS ROJAS</t>
  </si>
  <si>
    <t>SECRETARIA EJECUTIVA COMPUTACIONAL</t>
  </si>
  <si>
    <t>PASAJE CHARWA 176 DEPARTAMENTO 31</t>
  </si>
  <si>
    <t>daniela.salas.rojas1977@gmail.com</t>
  </si>
  <si>
    <t>24817643-1</t>
  </si>
  <si>
    <t>DIANA HERNÁNDEZ</t>
  </si>
  <si>
    <t>ASISTENTE CONTABLE</t>
  </si>
  <si>
    <t>SANTA ELENA 1722</t>
  </si>
  <si>
    <t>diana86nk@gmail.com</t>
  </si>
  <si>
    <t>VIUDO/A</t>
  </si>
  <si>
    <t>27158608-6</t>
  </si>
  <si>
    <t>DULENIS SANCHEZ AMESTY</t>
  </si>
  <si>
    <t>ING EN SISTEMAS</t>
  </si>
  <si>
    <t>RADAL 1227</t>
  </si>
  <si>
    <t xml:space="preserve">dulenis23@gmail.com </t>
  </si>
  <si>
    <t>27421822-3</t>
  </si>
  <si>
    <t>EDIXON MANUEL BASTIDAS VASQUEZ</t>
  </si>
  <si>
    <t>ARMANDO QUEZADA ACHARAN 1835</t>
  </si>
  <si>
    <t>edixonbastidasvasquez@gmail.com</t>
  </si>
  <si>
    <t>13676575-2</t>
  </si>
  <si>
    <t>ELIZABETH CERDA</t>
  </si>
  <si>
    <t>INFORMÁTICA</t>
  </si>
  <si>
    <t>AVENIDA EL PARQUE 1641</t>
  </si>
  <si>
    <t>elizabeth.cerda@icloud.com</t>
  </si>
  <si>
    <t>19743664-6</t>
  </si>
  <si>
    <t>FABIANA ANDREA SANCHO SARMIENTO</t>
  </si>
  <si>
    <t>BARROS LUCOS 1106</t>
  </si>
  <si>
    <t>Fabiana.andreas09@gmail.com</t>
  </si>
  <si>
    <t>16.263.846-7</t>
  </si>
  <si>
    <t>FABIOLA ANDREA ORTIZ ANCHIL</t>
  </si>
  <si>
    <t>LA FINCA 914 CASA 123</t>
  </si>
  <si>
    <t>fortizan_85@hotmail.com</t>
  </si>
  <si>
    <t>13936881-9</t>
  </si>
  <si>
    <t>HERIBERTO FRANK VARGAS PEREZ</t>
  </si>
  <si>
    <t>VENTAS</t>
  </si>
  <si>
    <t>MAESTRANZA 3451</t>
  </si>
  <si>
    <t>Felixvargasperez9@gmail.com</t>
  </si>
  <si>
    <t>10365963-9</t>
  </si>
  <si>
    <t>INGRID VERÓNICA VALDERRAMA CASTRO</t>
  </si>
  <si>
    <t>LOGÍSTICA</t>
  </si>
  <si>
    <t>LAS ESPIGAS 3473 JARDINES DE LA ESTACIÓN</t>
  </si>
  <si>
    <t>domingamonserrat04@gmail.com</t>
  </si>
  <si>
    <t>18054442-9</t>
  </si>
  <si>
    <t>JOSÉ IGNACIO ARAVENA VERA</t>
  </si>
  <si>
    <t>CHEF INTERNACIONAL</t>
  </si>
  <si>
    <t>HUGO ERCILLA OLEA 628</t>
  </si>
  <si>
    <t>jaravenavera@gmail.com</t>
  </si>
  <si>
    <t>25832350-5</t>
  </si>
  <si>
    <t>JOSÉ LUIS SOTO NAVAS</t>
  </si>
  <si>
    <t>ESCANILLA 1035, DPTO 614-A</t>
  </si>
  <si>
    <t>joseluissotonavas@gmail.com</t>
  </si>
  <si>
    <t>10253599-5</t>
  </si>
  <si>
    <t>JUAN CARLOS ALARCÓN REYES</t>
  </si>
  <si>
    <t>ASESOR EN VENTAS</t>
  </si>
  <si>
    <t>PASAJE IDEALISMO 0593</t>
  </si>
  <si>
    <t>alarconjuancarlos@gmail.com</t>
  </si>
  <si>
    <t>16378770-9</t>
  </si>
  <si>
    <t>LUIS MAURICIO MOYA PINCHEIRA</t>
  </si>
  <si>
    <t>EJECUTIVO COMERCIAL</t>
  </si>
  <si>
    <t>CALLE 25  1694</t>
  </si>
  <si>
    <t>Luis.mauriciomoya.parquedelrecuerdo.@gmail.com</t>
  </si>
  <si>
    <t>26037812-0</t>
  </si>
  <si>
    <t>MARCELA GARCÍA  JUSTINIANO</t>
  </si>
  <si>
    <t>SAN IGNACIO DE LOYOLA 1875</t>
  </si>
  <si>
    <t xml:space="preserve">Marcelagarciajustiniano71 </t>
  </si>
  <si>
    <t>BOLIVIANO/A</t>
  </si>
  <si>
    <t>11270187-7</t>
  </si>
  <si>
    <t>MARCO ANTONIO GONZÁLEZ SALAZAR</t>
  </si>
  <si>
    <t>EJÉRCITO LIBERTADOR 1434, CIUDAD DEL SOL</t>
  </si>
  <si>
    <t>marcogonzalezs0409@gmail.com</t>
  </si>
  <si>
    <t>16272115-1</t>
  </si>
  <si>
    <t>MARIA PIA URMENETA BURGUEÑO</t>
  </si>
  <si>
    <t>NINGUNA</t>
  </si>
  <si>
    <t>BAMBÚ 3 #547</t>
  </si>
  <si>
    <t>murmeneta62@gmail.com</t>
  </si>
  <si>
    <t>28394434-4</t>
  </si>
  <si>
    <t>MARIA XIMENA DUEÑAS JACOBS</t>
  </si>
  <si>
    <t>LIBERTAD 1274</t>
  </si>
  <si>
    <t>bluedujac@gmail.com</t>
  </si>
  <si>
    <t>27204110-5</t>
  </si>
  <si>
    <t>NABRITSA SANABRIA</t>
  </si>
  <si>
    <t>COMUNICADORA SOCIAL</t>
  </si>
  <si>
    <t>AV ALEJANDRO FLEMING 9809</t>
  </si>
  <si>
    <t>Nabritsa.sanabria@gmail.com</t>
  </si>
  <si>
    <t>15941433-7</t>
  </si>
  <si>
    <t>NATHALY ANDREA BARRERA FUENTES</t>
  </si>
  <si>
    <t>DUEÑA CASA</t>
  </si>
  <si>
    <t>ARGENTINA 456</t>
  </si>
  <si>
    <t>natalybarrerafuentes@gmail.com</t>
  </si>
  <si>
    <t>16659352-2</t>
  </si>
  <si>
    <t>PAULA FRANCISCA PARRA SOLER</t>
  </si>
  <si>
    <t>TÉCNICO EN ADMINISTRACIÓN DE EMPRESAS</t>
  </si>
  <si>
    <t>RAFAEL CORREA 1825</t>
  </si>
  <si>
    <t xml:space="preserve">Parrasolerp@gmail.com </t>
  </si>
  <si>
    <t>18091480-3</t>
  </si>
  <si>
    <t>VALENTINA ALEJANDRA BASAURE BARRA</t>
  </si>
  <si>
    <t>NO TENGO</t>
  </si>
  <si>
    <t>CAMINO LAS FLORES 934</t>
  </si>
  <si>
    <t>valentinabasaurebarra@gmail.com</t>
  </si>
  <si>
    <t>13936768-5</t>
  </si>
  <si>
    <t>SUSANA MILESI</t>
  </si>
  <si>
    <t>PROGRAMADORA EN COMPUTACION</t>
  </si>
  <si>
    <t>VICTOR JARA 3866</t>
  </si>
  <si>
    <t>Milesisusana68@gmail.com</t>
  </si>
  <si>
    <t>17171021-9</t>
  </si>
  <si>
    <t>JUAN PABLO MOYA RETAMAL</t>
  </si>
  <si>
    <t>EGRESADO EN KINESIOLOGÍA</t>
  </si>
  <si>
    <t>SAN PABLO 3610</t>
  </si>
  <si>
    <t>dez_black@live.cl</t>
  </si>
  <si>
    <t>26771389-8</t>
  </si>
  <si>
    <t>MILAGROS DACARID PÉREZ</t>
  </si>
  <si>
    <t>SAN PETERSBURGO 6351</t>
  </si>
  <si>
    <t>Dacaridperez91@gmail.com</t>
  </si>
  <si>
    <t>12290581-0</t>
  </si>
  <si>
    <t>BARBARA ESTELA ESPINOZA NOEMI</t>
  </si>
  <si>
    <t>CONTADOR</t>
  </si>
  <si>
    <t>LUCA DE LA ROBBIA 7591</t>
  </si>
  <si>
    <t>Bespinoza.noemi@gmail.com</t>
  </si>
  <si>
    <t>21261055-0</t>
  </si>
  <si>
    <t>ADRIANA ALEJANDRA ESCOBAR LASTRA</t>
  </si>
  <si>
    <t>TÉCNICO EN MARKETING</t>
  </si>
  <si>
    <t>TENIENTE PONCE 2240</t>
  </si>
  <si>
    <t>Aescobarlastra@gmail.com</t>
  </si>
  <si>
    <t>15153479-1</t>
  </si>
  <si>
    <t>PABLO FRANCISCO JARA GONZÁLEZ</t>
  </si>
  <si>
    <t>TÉCNICO UNIVERSITARIO EN MANTENIMIENTO AERONÁUTICO</t>
  </si>
  <si>
    <t>CARRION 1319 DEPARTAMENTO 1401 TORRE A</t>
  </si>
  <si>
    <t>jara698@gmail.com</t>
  </si>
  <si>
    <t>17676688-3</t>
  </si>
  <si>
    <t>FABIANA ANDREA MORALES PRIETO</t>
  </si>
  <si>
    <t>ZAPADORES 411 DPTO E304 PONIENTE</t>
  </si>
  <si>
    <t>Fabiana.imai@gmail.com</t>
  </si>
  <si>
    <t>17073286-3</t>
  </si>
  <si>
    <t>IVAN ESTEBAN ORTEGA NOME</t>
  </si>
  <si>
    <t>TEC EN GESTIÓN DE EMPRESAS</t>
  </si>
  <si>
    <t>ADELA MARTINEZ PONIENTE 305</t>
  </si>
  <si>
    <t>ieon021512@gmail.com</t>
  </si>
  <si>
    <t>PASAP: 191093953</t>
  </si>
  <si>
    <t>MAIRIM VIRGINIA BALDAYO GARCÍA</t>
  </si>
  <si>
    <t>UNIVERSITARIA LICENCIADA EN DESARROLLO EMPRESARIAL</t>
  </si>
  <si>
    <t>AV PORTUGAL 676 DPTO 406</t>
  </si>
  <si>
    <t>Mairimbaldayo@gamil.com</t>
  </si>
  <si>
    <t>19681902-9</t>
  </si>
  <si>
    <t>KIMBERLY GONZALEZ ORTEGA</t>
  </si>
  <si>
    <t>PIEDRA ROJA 065</t>
  </si>
  <si>
    <t>Kagortega@gmail.com</t>
  </si>
  <si>
    <t>17675115-0</t>
  </si>
  <si>
    <t>FRANCHESCA ESTEFANIA VIDAL CASTILLO</t>
  </si>
  <si>
    <t>SECRETARIA EJECUTIVA</t>
  </si>
  <si>
    <t>ARGOMEDO 390 DPTO 2202</t>
  </si>
  <si>
    <t>Franisadorasofia@gmail.com</t>
  </si>
  <si>
    <t>TAPP CAJA LOS ANDEA</t>
  </si>
  <si>
    <t>17063093-9</t>
  </si>
  <si>
    <t>FERNANDA ANTONIA PEREZ PEDREROS</t>
  </si>
  <si>
    <t>JASON 579</t>
  </si>
  <si>
    <t>Perezpedrerosfer.anto26@gmail.com</t>
  </si>
  <si>
    <t>15788689-4</t>
  </si>
  <si>
    <t>CAROLINA SALLES CHINCHON</t>
  </si>
  <si>
    <t>EJECUTIVA DE VENTAS ( PROFESION : TÉCNICA EN DISEÑO Y VESTUARIO)</t>
  </si>
  <si>
    <t>EL RETAMO 9616</t>
  </si>
  <si>
    <t>sallescarolina27@gmail.com</t>
  </si>
  <si>
    <t>15361464-4</t>
  </si>
  <si>
    <t>CONSTANZA MARTÍNEZ RIVEROS</t>
  </si>
  <si>
    <t>SECRETARIA</t>
  </si>
  <si>
    <t>OSORNO 3155</t>
  </si>
  <si>
    <t>conny_martinez@hotmai.com</t>
  </si>
  <si>
    <t>15617758-2</t>
  </si>
  <si>
    <t>MIGUEL ÁNGEL MEJIAS SANHUEZA</t>
  </si>
  <si>
    <t>LA PIRÁMIDE 190</t>
  </si>
  <si>
    <t>miguel.paginaoficial@gmail.com</t>
  </si>
  <si>
    <t>26883353-6</t>
  </si>
  <si>
    <t>JUAN CARLOS GONZÁLEZ VERA</t>
  </si>
  <si>
    <t>MARTINEZ DE ROZAS 3550</t>
  </si>
  <si>
    <t>gonzalezjuan79@gmail.com</t>
  </si>
  <si>
    <t>22064667-K</t>
  </si>
  <si>
    <t>MAX ANDRES JEREZ RAMIREZ</t>
  </si>
  <si>
    <t>NINGUNO</t>
  </si>
  <si>
    <t>LAS PALMERAS 195</t>
  </si>
  <si>
    <t>maxjerez66@gmail.com</t>
  </si>
  <si>
    <t>FREELANCE TELEMARKETING</t>
  </si>
  <si>
    <t>18531867-2</t>
  </si>
  <si>
    <t>CONSTANZA MICHEL VIROT HERNANDEZ</t>
  </si>
  <si>
    <t>TRABAJADOR DEPENDIENTE</t>
  </si>
  <si>
    <t>PEDRO LEÓN UGALDE 864</t>
  </si>
  <si>
    <t>Constanzavirot93@gmail.com</t>
  </si>
  <si>
    <t>27789521-8</t>
  </si>
  <si>
    <t>EMPLEADO</t>
  </si>
  <si>
    <t>LIBERTAD 1270 DPTO 228</t>
  </si>
  <si>
    <t>26681955-2</t>
  </si>
  <si>
    <t>GIO SEGOVIA</t>
  </si>
  <si>
    <t>RUPANCO 100</t>
  </si>
  <si>
    <t>gioly1990@gmail.com</t>
  </si>
  <si>
    <t>18593212-5</t>
  </si>
  <si>
    <t>GABRIELA CONSTANZA POSCH FIGUEROA</t>
  </si>
  <si>
    <t>LAS ENREDADERAS 2118 DEPTO 204</t>
  </si>
  <si>
    <t>Gabrielaposchfigueroa@gmail.com</t>
  </si>
  <si>
    <t>20221783-4</t>
  </si>
  <si>
    <t>DENNISSE ALONDRA RAMÍREZ OSORIO</t>
  </si>
  <si>
    <t>ASESORA</t>
  </si>
  <si>
    <t>MAULE 0244</t>
  </si>
  <si>
    <t>lha.dennisse.19@gmail.com</t>
  </si>
  <si>
    <t>16640313-8</t>
  </si>
  <si>
    <t>KARINA MACARENA ESCOBAR  SILVA</t>
  </si>
  <si>
    <t>TÉCNICO EN ADMINISTRACIÓN</t>
  </si>
  <si>
    <t>LAGO RIÑIHUE 6960</t>
  </si>
  <si>
    <t>Karinamacarenaescobarsilva@gmail.com</t>
  </si>
  <si>
    <t>16154956-8</t>
  </si>
  <si>
    <t>ARTURO ALEJANDRO HERNANDEZ REYES</t>
  </si>
  <si>
    <t>PERIODISTA</t>
  </si>
  <si>
    <t>AV.ESCUELA AGRÍCOLA 1710</t>
  </si>
  <si>
    <t>aaahr.86@gmail.com</t>
  </si>
  <si>
    <t>19499412-5</t>
  </si>
  <si>
    <t>BRANDON JACE PAYA MOLINA</t>
  </si>
  <si>
    <t>INGENIERO EN ADMINISTRACIÓN Y FINANZAS</t>
  </si>
  <si>
    <t>OSCAR AGUAYO DÍAZ 874</t>
  </si>
  <si>
    <t>Brandon.paya@gmail.com</t>
  </si>
  <si>
    <t>18027267-4</t>
  </si>
  <si>
    <t>TAMARA ANDREA SERPA FLORES</t>
  </si>
  <si>
    <t>ALMIRANTE RIVEROS 01118</t>
  </si>
  <si>
    <t>tamaraserpa257@gmail.com</t>
  </si>
  <si>
    <t>18355807-2</t>
  </si>
  <si>
    <t>SAMANTHA NICOL ESQUIVEL TAPIA</t>
  </si>
  <si>
    <t>ASTRO REY 0532</t>
  </si>
  <si>
    <t>S.esquivel@live.cl</t>
  </si>
  <si>
    <t>13284947-1</t>
  </si>
  <si>
    <t>TRINIDAD URQUEJO SALAS</t>
  </si>
  <si>
    <t>LAS MORACEAS 6483</t>
  </si>
  <si>
    <t>trinitylive4.0@gmail.com</t>
  </si>
  <si>
    <t>15136682-1</t>
  </si>
  <si>
    <t>RODRIGO LABRA YAÑEZ</t>
  </si>
  <si>
    <t>COMUNICADOR AUDIOVISUAL</t>
  </si>
  <si>
    <t>JUAN DE PINEDA 7758 DEPTO 811</t>
  </si>
  <si>
    <t>rodrigolabray@gmail.com</t>
  </si>
  <si>
    <t>18832990-K</t>
  </si>
  <si>
    <t>FRANCISCA SCARLETTE MORENO DÍAZ</t>
  </si>
  <si>
    <t>ADMINISTRACIÓN DE EMPRESA CUARTO MEDIO</t>
  </si>
  <si>
    <t>PASAJE 457 #1798</t>
  </si>
  <si>
    <t xml:space="preserve">Francisca.fran301@gmail.com </t>
  </si>
  <si>
    <t>22760551-0</t>
  </si>
  <si>
    <t>FRANCO TOMAS CASAS RODRÍGUEZ</t>
  </si>
  <si>
    <t>BLANCA 2684</t>
  </si>
  <si>
    <t>francocasas858@gmail.com</t>
  </si>
  <si>
    <t>20000180-K</t>
  </si>
  <si>
    <t>STEFANIA ALEJANDRA DOMENECH LOPEZ</t>
  </si>
  <si>
    <t>RAMON CRUZ MONTT 1641</t>
  </si>
  <si>
    <t>Stefanialopez1641@gmail.com</t>
  </si>
  <si>
    <t>13484676-3</t>
  </si>
  <si>
    <t>REINERY SOLANGE LEON BARCOJ</t>
  </si>
  <si>
    <t>INGENIERO EN ADMINISTRACIÓN DE EMPRESAS</t>
  </si>
  <si>
    <t>PALESTRINA 2959</t>
  </si>
  <si>
    <t xml:space="preserve">Reinery234@hotmail.com </t>
  </si>
  <si>
    <t>20647078-K</t>
  </si>
  <si>
    <t>CAROLAINE ESTEFANÍA BRITO VASQUEZ</t>
  </si>
  <si>
    <t>LAGO GRIS 8108</t>
  </si>
  <si>
    <t>carolainebritov@gmail.com</t>
  </si>
  <si>
    <t>12889669-4</t>
  </si>
  <si>
    <t>MARCOS ALEJANDRO CABRERA TOBAR</t>
  </si>
  <si>
    <t>NORMANDÍA 1941 DEPTO 404 TORRE MENOR</t>
  </si>
  <si>
    <t>marcoscab@gmail.com</t>
  </si>
  <si>
    <t>18832851-2</t>
  </si>
  <si>
    <t>ESTER YOLANDA DEL CARMEN SAAVEDRA ESCOBAR</t>
  </si>
  <si>
    <t>MASAJISTA CLINICA</t>
  </si>
  <si>
    <t>QUEBRADA DE UMALLANI #629</t>
  </si>
  <si>
    <t>saavedraester63@gmail.com</t>
  </si>
  <si>
    <t>18548691-5</t>
  </si>
  <si>
    <t>DANIELA ESTRELLA PAZ MANQUEL POFFALD</t>
  </si>
  <si>
    <t>EMPRENDEDORA Y TERAPEUTA INTEGRAL DE PERSONAS MAYORES</t>
  </si>
  <si>
    <t>JOSE MIGUEL CARRERA 130</t>
  </si>
  <si>
    <t>Integralkimn@gmail.com</t>
  </si>
  <si>
    <t>17190452-8</t>
  </si>
  <si>
    <t>ESTEPHANY SOLANGE MUÑOZ RODRÍGUEZ</t>
  </si>
  <si>
    <t>TÉCNICO EN COMERCIO EXTERIOR</t>
  </si>
  <si>
    <t>MARIA ELENA 370 TORRE G DPTO 104</t>
  </si>
  <si>
    <t>Estephany.s.munoz@gmail.com</t>
  </si>
  <si>
    <t>14187831-K</t>
  </si>
  <si>
    <t>KAREN MACARENA SUAREZ VILLANUEVA</t>
  </si>
  <si>
    <t>PROFESORA IRMA SALAS SILVA 404</t>
  </si>
  <si>
    <t>Karenmaca.1981@gmail.com</t>
  </si>
  <si>
    <t>10659974-2</t>
  </si>
  <si>
    <t>JORGE RAFAEL DIAZ GUIÑEZ</t>
  </si>
  <si>
    <t>PEPE ABAD 664</t>
  </si>
  <si>
    <t>jdiaz157@gmail.com</t>
  </si>
  <si>
    <t>21984984-2</t>
  </si>
  <si>
    <t>JOSE ESTEBAN PLACENCIA URRA</t>
  </si>
  <si>
    <t>TÉCNICO PROFESIONAL EN AGROPECUARIA</t>
  </si>
  <si>
    <t>PASAJE EL CAPATAZ 01512 PUENTE ALTO</t>
  </si>
  <si>
    <t>businessplacencia@gmail.com</t>
  </si>
  <si>
    <t>14573251-4</t>
  </si>
  <si>
    <t>LORENA ESTER AHUMADA VALENZUELA</t>
  </si>
  <si>
    <t>CUIDADORA</t>
  </si>
  <si>
    <t>BERLÍN 781</t>
  </si>
  <si>
    <t>lorena.ahumada.valenzuela@gmail.com</t>
  </si>
  <si>
    <t>18083400-1</t>
  </si>
  <si>
    <t>CRISTOPHER NICOLÁS SALAMANCA AMBIADO</t>
  </si>
  <si>
    <t>OPERADOR GRÚA HORQUILLA</t>
  </si>
  <si>
    <t>LOS ADOBES 1730</t>
  </si>
  <si>
    <t>salamanca.nicolas.cs@gmail.com</t>
  </si>
  <si>
    <t>18365697-K</t>
  </si>
  <si>
    <t>NICOLE ALEJANDRA TEJEDA QUEZADA</t>
  </si>
  <si>
    <t>CAMINO INTERNACIONAL 1490</t>
  </si>
  <si>
    <t>Tejedan554@gmail.com</t>
  </si>
  <si>
    <t>12871253-4</t>
  </si>
  <si>
    <t>LISETTE WENDOLINE ROA AEDO</t>
  </si>
  <si>
    <t>ADMINISTRACIÓN DE EMPRESAS</t>
  </si>
  <si>
    <t>MONTREAL 4253</t>
  </si>
  <si>
    <t>Lisetteroa86@hotmail.com</t>
  </si>
  <si>
    <t>26111720-7</t>
  </si>
  <si>
    <t>KARINA DEL VALLE ESCALONA GONZÁLEZ</t>
  </si>
  <si>
    <t>CARRION 1507</t>
  </si>
  <si>
    <t>escalonakarina1224@gmail.com</t>
  </si>
  <si>
    <t>27261703-1</t>
  </si>
  <si>
    <t>PEBLIS EDILIA ACEVEDO HERNÁNDEZ</t>
  </si>
  <si>
    <t>TÉCNICO SUPERIOR UNIVERSITARIO EN RIESGO Y SEGUROS</t>
  </si>
  <si>
    <t>MARCO DEL PONT 2931</t>
  </si>
  <si>
    <t>peblis.acevedo@gmail.com</t>
  </si>
  <si>
    <t>25728060-8</t>
  </si>
  <si>
    <t>NELSON ALFREDO RODRÍGUEZ PÉREZ</t>
  </si>
  <si>
    <t>RADAL 1227, DEPTO 1205</t>
  </si>
  <si>
    <t>Nel_music@hotmail.com</t>
  </si>
  <si>
    <t>15060218-1</t>
  </si>
  <si>
    <t>IGNACIO ANDRES IRADI MONTANO</t>
  </si>
  <si>
    <t>ADMIN. DE EMPRESAS</t>
  </si>
  <si>
    <t>EXEQUIEL FERNÁNDEZ 1369</t>
  </si>
  <si>
    <t>iiradi@me.com</t>
  </si>
  <si>
    <t>15897946-2</t>
  </si>
  <si>
    <t>LUZMIRA JANET AGUILERA NAVARRETE</t>
  </si>
  <si>
    <t>SOFÍA CARMONA 181 DTO F124</t>
  </si>
  <si>
    <t xml:space="preserve">Janet.aguilera.claro@gmail.com </t>
  </si>
  <si>
    <t>21502132-7</t>
  </si>
  <si>
    <t>LUIS ENRIQUE PINO FIGUEROA</t>
  </si>
  <si>
    <t>TÉCNICO ELÉCTRICO Y VENDEDOR</t>
  </si>
  <si>
    <t>RINCONADA 8432</t>
  </si>
  <si>
    <t>SAN RAMÓN</t>
  </si>
  <si>
    <t>lpinofigueroa@gmail.com</t>
  </si>
  <si>
    <t>19879382-5</t>
  </si>
  <si>
    <t>ELIZABETH HUENUPAN HUENTEN</t>
  </si>
  <si>
    <t>EL SAUCE 01424</t>
  </si>
  <si>
    <t>elizabethhuenupanh@gmail.com</t>
  </si>
  <si>
    <t>22209914-5</t>
  </si>
  <si>
    <t>ALEJANDRA STEFANI RAMIREZ HUAMAN</t>
  </si>
  <si>
    <t>ESTUDIO</t>
  </si>
  <si>
    <t>RICARDO CUMMING 1346</t>
  </si>
  <si>
    <t>Stefanyramire33@gmail.com</t>
  </si>
  <si>
    <t>DISTRITO VIRTUAL</t>
  </si>
  <si>
    <t>IVÁN CORNEJO</t>
  </si>
  <si>
    <t>21606435-6</t>
  </si>
  <si>
    <t>YARELA ANDREA ROMAN JIMENEZ</t>
  </si>
  <si>
    <t>TENS</t>
  </si>
  <si>
    <t>LOS SUSPIROS 370</t>
  </si>
  <si>
    <t>Yarelaroman@gmail.com</t>
  </si>
  <si>
    <t>15979774-0</t>
  </si>
  <si>
    <t>IVÁN ALEJANDRO CORNEJO DELGADO</t>
  </si>
  <si>
    <t>EMPRESARIO</t>
  </si>
  <si>
    <t>AV MACUL 2470 DEP 607B MQCUL</t>
  </si>
  <si>
    <t>Icornejd@gmail.com</t>
  </si>
  <si>
    <t>9221743-4</t>
  </si>
  <si>
    <t>RODRIGO ANDRÉS ABALOS MUÑOZ</t>
  </si>
  <si>
    <t>ING , CORREDOR SEGUROS</t>
  </si>
  <si>
    <t>VICTOR RAE 4580</t>
  </si>
  <si>
    <t>rabalosm@gmail.com</t>
  </si>
  <si>
    <t>25810014-K</t>
  </si>
  <si>
    <t>ZHILMA FLORES HERNÁNDEZ</t>
  </si>
  <si>
    <t>CONTADOR AUDITOR</t>
  </si>
  <si>
    <t>CONDELL 1166, DPTO 301</t>
  </si>
  <si>
    <t>zhilmaflores@gmail.com</t>
  </si>
  <si>
    <t>16642983-8</t>
  </si>
  <si>
    <t>LILIAN VARGAS YEVENES</t>
  </si>
  <si>
    <t>TECNICO EN TURISMO</t>
  </si>
  <si>
    <t>ZAÑARTU 1313 DPTO 503</t>
  </si>
  <si>
    <t>Lilian.vargasy@gmail.com</t>
  </si>
  <si>
    <t>14025982-9</t>
  </si>
  <si>
    <t>ROBERTO CARRASCO MAUREIRA</t>
  </si>
  <si>
    <t>MANCO CAPAC 1576</t>
  </si>
  <si>
    <t>robertocarrascom@gmail.com</t>
  </si>
  <si>
    <t>20419908-6</t>
  </si>
  <si>
    <t>FRANCO IGNACIO VEGA HERNANDEZ</t>
  </si>
  <si>
    <t>OPERADOR CCTV</t>
  </si>
  <si>
    <t>EL PLATINO 141</t>
  </si>
  <si>
    <t>Francoignacio344@gmail.com</t>
  </si>
  <si>
    <t>13487951-3</t>
  </si>
  <si>
    <t>CRISTIAN ALEXIS MUÑOZ IBACACHE</t>
  </si>
  <si>
    <t>PUBLICIDAD</t>
  </si>
  <si>
    <t>SAN ISIDRO 2202 CASA 5</t>
  </si>
  <si>
    <t>cmunozi1978@gmail.com</t>
  </si>
  <si>
    <t>9834584-1</t>
  </si>
  <si>
    <t>HERNÁN ARNOLDO SEPÚLVEDA FUENTEALBA</t>
  </si>
  <si>
    <t>PASAJE LLAHUEN 2086 VILLA SANTA MARÍA</t>
  </si>
  <si>
    <t>hersepulveda@hotmail.com</t>
  </si>
  <si>
    <t>8517881-4</t>
  </si>
  <si>
    <t>GABRIELA DEL CARMEN ROJAS QUEZADA</t>
  </si>
  <si>
    <t>NONATO COO 3253</t>
  </si>
  <si>
    <t>g.rojasquezada@gmail.com</t>
  </si>
  <si>
    <t>17740482-9</t>
  </si>
  <si>
    <t>LUIS ALBERTO MELLADO DÍAZ</t>
  </si>
  <si>
    <t>ASESOR JURÍDICO</t>
  </si>
  <si>
    <t>AV. SEBASTIÁN ELCANO 1100</t>
  </si>
  <si>
    <t>lmellado11@gmail.com</t>
  </si>
  <si>
    <t>11677089-K</t>
  </si>
  <si>
    <t>MARLENE JOHANNA LAGOS SAGARDIA</t>
  </si>
  <si>
    <t>AV EL PARQUE 2352</t>
  </si>
  <si>
    <t>marlencita1970@hotmail.com</t>
  </si>
  <si>
    <t>16647721-2</t>
  </si>
  <si>
    <t>YOHANY MARGARITA GONZÁLEZ ROJAS</t>
  </si>
  <si>
    <t>PADRE HURTADO #1049</t>
  </si>
  <si>
    <t>yohany.go87@gmail.com</t>
  </si>
  <si>
    <t>21119337-9</t>
  </si>
  <si>
    <t>PEDRO ANTONIO NÚÑEZ GATICA</t>
  </si>
  <si>
    <t>CALI 6535</t>
  </si>
  <si>
    <t>pedronunez11h@gmail.com</t>
  </si>
  <si>
    <t>21433353-8</t>
  </si>
  <si>
    <t>FERNANDA BELÉN ANTONIA PÉREZ APIOLAZA</t>
  </si>
  <si>
    <t>ESTÉTICA PROFESIONAL</t>
  </si>
  <si>
    <t>AV. DEPARTAMENTAL 5520</t>
  </si>
  <si>
    <t>fperezapiolaza@gmail.com</t>
  </si>
  <si>
    <t>18276829-4</t>
  </si>
  <si>
    <t>DALMA EVANGELY CADIN MONTIEL</t>
  </si>
  <si>
    <t>BAHÍA ORANGE 3909</t>
  </si>
  <si>
    <t>Da.cadin.m@hotmail.com</t>
  </si>
  <si>
    <t>10323847-1</t>
  </si>
  <si>
    <t>ANA MARIA IBÁÑEZ ASTUDILLO</t>
  </si>
  <si>
    <t>CALLE SAN PABLO 3900 DEPARTAMENTO 1410</t>
  </si>
  <si>
    <t>anitamariaster@gmail.com</t>
  </si>
  <si>
    <t>8968936-8</t>
  </si>
  <si>
    <t>DAYANA CAROL ÓRDENES MONTENEGRO</t>
  </si>
  <si>
    <t>LICENCIADA EN FONOAUDIOLOGÍA</t>
  </si>
  <si>
    <t>AVENIDA FERROCARRIL 8045</t>
  </si>
  <si>
    <t>do.triceptor@gmail.com</t>
  </si>
  <si>
    <t>13656550-8</t>
  </si>
  <si>
    <t>ERNA DEL CARMEN PEREZ GAETE</t>
  </si>
  <si>
    <t>PJE. LOS PEHUENCHES 614 A</t>
  </si>
  <si>
    <t>ernapgaete@gmail.com</t>
  </si>
  <si>
    <t>19880699-4</t>
  </si>
  <si>
    <t>KAYLIN YESSENIA AYALA CHACON</t>
  </si>
  <si>
    <t>DISEÑO GRAFICO</t>
  </si>
  <si>
    <t>AV. LAS TORRES 5490</t>
  </si>
  <si>
    <t>kaylin.yessenia.19@gmail.com</t>
  </si>
  <si>
    <t>LILIAN VARGAS</t>
  </si>
  <si>
    <t>11819481-0</t>
  </si>
  <si>
    <t>PAMELA ANTÚNEZ ABARCA</t>
  </si>
  <si>
    <t>AUX PARAMEDICO</t>
  </si>
  <si>
    <t>AV GRECIA 1533 B DPTO 11</t>
  </si>
  <si>
    <t>P.antunezabarca@gmail.com</t>
  </si>
  <si>
    <t>RODRIGO ÁBALOS</t>
  </si>
  <si>
    <t>11633473-9</t>
  </si>
  <si>
    <t>CHRISTIAN ALFONSO RICHARDS CABRERA</t>
  </si>
  <si>
    <t>CORREDOR DE SEGUROS</t>
  </si>
  <si>
    <t>CUARTA AVENIDA 1247</t>
  </si>
  <si>
    <t>queplan.marketplace@gmail.com</t>
  </si>
  <si>
    <t>ALFREDO CAVIERES</t>
  </si>
  <si>
    <t>17489172-9</t>
  </si>
  <si>
    <t>ALAN ESTEBAN SOTO LARA</t>
  </si>
  <si>
    <t>MANUAL RODRIGUEZ NORTE 677</t>
  </si>
  <si>
    <t>alan.esteban23@gmail.com</t>
  </si>
  <si>
    <t>MARÍA LUISA ROMÁN</t>
  </si>
  <si>
    <t>21680782-0</t>
  </si>
  <si>
    <t>NICOL VALENTINA CARTE FIGUEROA</t>
  </si>
  <si>
    <t>TÉCNICO EN ENFERMERÍA U OTROS</t>
  </si>
  <si>
    <t>SALVADOR DALÍ 127</t>
  </si>
  <si>
    <t>ncarte09@gmail.com</t>
  </si>
  <si>
    <t>26618690-8</t>
  </si>
  <si>
    <t>ROBERT ALEMÁN</t>
  </si>
  <si>
    <t>AGENTE DE SEGUROS</t>
  </si>
  <si>
    <t>AV RECOLETA 1259 DPTO 1202</t>
  </si>
  <si>
    <t>Alemandeseguros@gmail.com</t>
  </si>
  <si>
    <t>ZHILMA FLORES</t>
  </si>
  <si>
    <t>19928907-1</t>
  </si>
  <si>
    <t>PEDRO BYRON ARÉVALO PÉREZ</t>
  </si>
  <si>
    <t>TECNICO EN GASTRONOMÍA</t>
  </si>
  <si>
    <t>NICANOR GAMBOA 1432</t>
  </si>
  <si>
    <t>parevalop98@gmail.com</t>
  </si>
  <si>
    <t>PREX</t>
  </si>
  <si>
    <t>16093383-6</t>
  </si>
  <si>
    <t>FRANCISCO ERIK MARTINEZ ARAVENA</t>
  </si>
  <si>
    <t>TÉCNICO EN ADMINISTRACIÓN LOGÍSTICA</t>
  </si>
  <si>
    <t>AVENIDA OSSA 715</t>
  </si>
  <si>
    <t>fox_pancho@hotmail.com</t>
  </si>
  <si>
    <t>21455641-3</t>
  </si>
  <si>
    <t>ALEJANDRO CORNEJO</t>
  </si>
  <si>
    <t>ESTUDIANTE INGENIERÍA COMERCIAL</t>
  </si>
  <si>
    <t>AV. MACUL 2470, DEPTO 607C</t>
  </si>
  <si>
    <t>26101556-0</t>
  </si>
  <si>
    <t>MARÍA JOSÉ PÉREZ PERDOMO</t>
  </si>
  <si>
    <t>CREADORA DE CONTENIDO</t>
  </si>
  <si>
    <t>PRESIDENTE BALMACEDA 2170, SANTIAGO CENTRO</t>
  </si>
  <si>
    <t>marijoperez93@gmail.com</t>
  </si>
  <si>
    <t>27399922-1</t>
  </si>
  <si>
    <t>ANYEL ANDREINA ALBARRÁN CASTILLO</t>
  </si>
  <si>
    <t>CARLOS SILVA VILDOSOLA 870</t>
  </si>
  <si>
    <t>Andrecastillo0912@gmail.com</t>
  </si>
  <si>
    <t>20793105-5</t>
  </si>
  <si>
    <t>CATALINA ALEJANDRA CORTEZ OLIVERA</t>
  </si>
  <si>
    <t>PIRINEOS 1298</t>
  </si>
  <si>
    <t>catalinacortez039@gmail.com</t>
  </si>
  <si>
    <t>21821337-5</t>
  </si>
  <si>
    <t>CONSTANZA VALENTINA ESPERGUEL MONTOYA</t>
  </si>
  <si>
    <t>TÉCNICO EN COSMETOLOGIA</t>
  </si>
  <si>
    <t>PASAJE MARÍA LUISA 13116 DPTO/301</t>
  </si>
  <si>
    <t>Valentina1919191919@gmail.com</t>
  </si>
  <si>
    <t>20533821-7</t>
  </si>
  <si>
    <t>IGNACIO ANTONIO PINO ROMÁN</t>
  </si>
  <si>
    <t>AV MANUEL RODRÍGUEZ #772</t>
  </si>
  <si>
    <t>antonniooo123@gmail.com</t>
  </si>
  <si>
    <t>19312834-3</t>
  </si>
  <si>
    <t>YAJAIRA VENEGAS ARIAS</t>
  </si>
  <si>
    <t>ASESOR COMERCIAL</t>
  </si>
  <si>
    <t>SANTA EMILIA 6694</t>
  </si>
  <si>
    <t>RENCA</t>
  </si>
  <si>
    <t xml:space="preserve">Yajaira.venegasa@gmail.com </t>
  </si>
  <si>
    <t>11525042-6</t>
  </si>
  <si>
    <t>MARGARITA SCARLETT GARRIDO RETAMALES</t>
  </si>
  <si>
    <t>PASAJE LAGO CABURGA 8904</t>
  </si>
  <si>
    <t>scarlett.garrido.retamales@gmail.com</t>
  </si>
  <si>
    <t>15533174-7</t>
  </si>
  <si>
    <t>DOMINGO ANGELO SOLORZA VALDIVIA</t>
  </si>
  <si>
    <t>ELIAS CONTRERAS 3245</t>
  </si>
  <si>
    <t>solorzadomingo@gmail.com</t>
  </si>
  <si>
    <t>33591908-4</t>
  </si>
  <si>
    <t>VERÓNICA PATRICIA CAMPERO SOLÓRZANO</t>
  </si>
  <si>
    <t>LOS MAITENES 6071,</t>
  </si>
  <si>
    <t>camberoveronica40@gmail.com</t>
  </si>
  <si>
    <t>16661063-K</t>
  </si>
  <si>
    <t>ALFREDO ANDRÉS CAVIERES BRAVO</t>
  </si>
  <si>
    <t>RADAL 828</t>
  </si>
  <si>
    <t>acavieres@moniad.cl</t>
  </si>
  <si>
    <t>12478945-1</t>
  </si>
  <si>
    <t>EDUARDO FABIÁN ESCALONA ROJAS</t>
  </si>
  <si>
    <t>LOS CHANGOS 629</t>
  </si>
  <si>
    <t>Edo.escalona@gmail.com</t>
  </si>
  <si>
    <t>22210144-1</t>
  </si>
  <si>
    <t>DAMARIS SARAI CABRERA GUTIÉRREZ</t>
  </si>
  <si>
    <t>GRECCIO 9360</t>
  </si>
  <si>
    <t>saraidamaris87@gmail.com</t>
  </si>
  <si>
    <t>16519615-5</t>
  </si>
  <si>
    <t>JUAN HERNÁN GONZÁLEZ SALINAS</t>
  </si>
  <si>
    <t>MAESTRO DE LA CONSTRUCCIÓN</t>
  </si>
  <si>
    <t>LA CAPILLA 7366</t>
  </si>
  <si>
    <t>ymekreouno@gmail.com</t>
  </si>
  <si>
    <t>16421508-3</t>
  </si>
  <si>
    <t>JUAN PABLO VILLACURA PAVEZ</t>
  </si>
  <si>
    <t>ISAÍAS 600 ESTACIÓN CENTRAL</t>
  </si>
  <si>
    <t>juanpablovillacura@gmail.com</t>
  </si>
  <si>
    <t>FRANCISCA CORREA</t>
  </si>
  <si>
    <t>26523262-0</t>
  </si>
  <si>
    <t>LUISANA MANRIQUE</t>
  </si>
  <si>
    <t>TSU PUBLICIDAD Y MERCADEO</t>
  </si>
  <si>
    <t>MARURI 639</t>
  </si>
  <si>
    <t>Luisanagra@gmail.com</t>
  </si>
  <si>
    <t>JOHY SALAS</t>
  </si>
  <si>
    <t>26061746-K</t>
  </si>
  <si>
    <t>MARLIER PAOLA NORATO MARTÍNEZ</t>
  </si>
  <si>
    <t>COMERCIANTE</t>
  </si>
  <si>
    <t>ARTURO PRAT 1458</t>
  </si>
  <si>
    <t>Noratomarlier@gmail.con</t>
  </si>
  <si>
    <t>18123027-4</t>
  </si>
  <si>
    <t>JOSELIN ESTEFANIA NUÑEZ GATICA</t>
  </si>
  <si>
    <t>TRABAJADORA</t>
  </si>
  <si>
    <t>CALI 6535 PEÑALOLEN</t>
  </si>
  <si>
    <t>joselinnunez4b@gmail.com</t>
  </si>
  <si>
    <t>18103669-9</t>
  </si>
  <si>
    <t>NICOLÁS ESTEBAN TOBAR ROMERO</t>
  </si>
  <si>
    <t>EMPRENDEDOR</t>
  </si>
  <si>
    <t>NELSON STOCK OCARANZA #89</t>
  </si>
  <si>
    <t xml:space="preserve">Ventasnicoled@gmail.com </t>
  </si>
  <si>
    <t>19485290-8</t>
  </si>
  <si>
    <t>MARCOS ANDRÉS SALINAS CURIN</t>
  </si>
  <si>
    <t>RIO CLARO 901</t>
  </si>
  <si>
    <t>salicur.marcos369@gmail.com</t>
  </si>
  <si>
    <t>5791391-6</t>
  </si>
  <si>
    <t>LAURA PATRICIA VENEGAS MOLINA</t>
  </si>
  <si>
    <t>SAN BENITO 790 DPTO. L 343</t>
  </si>
  <si>
    <t>laura.venegas@hotmail.com</t>
  </si>
  <si>
    <t>20834484-6</t>
  </si>
  <si>
    <t>IGNACIO ANDRES ECHANES BRIONES</t>
  </si>
  <si>
    <t>MILAN 1221</t>
  </si>
  <si>
    <t>ignacioxx7@gmail.com</t>
  </si>
  <si>
    <t>20222301-K</t>
  </si>
  <si>
    <t>MARÍA JOSÉ TAPIA VILLANUEVA</t>
  </si>
  <si>
    <t>Mariajosetapia1999@gmail.com</t>
  </si>
  <si>
    <t>SELMA VILLANUEVA</t>
  </si>
  <si>
    <t>Alibru2201@gmail.com</t>
  </si>
  <si>
    <t>20791134-8</t>
  </si>
  <si>
    <t>CATALINA IGNACIA HINOJOSA ROJAS</t>
  </si>
  <si>
    <t>MONTENEGRO 01164</t>
  </si>
  <si>
    <t>Catitaaa.hinojosa@gmail.com</t>
  </si>
  <si>
    <t>26171105-2</t>
  </si>
  <si>
    <t>YIPSY JOSÉ BRITO MARÍN</t>
  </si>
  <si>
    <t>TÉCNICO SUPERIOR UNIVERSITARIO EN INFORMÁTICA</t>
  </si>
  <si>
    <t>JUAN DE BARROS 3885</t>
  </si>
  <si>
    <t>yipsybrito11@gmail.com</t>
  </si>
  <si>
    <t>15523999-9</t>
  </si>
  <si>
    <t>JENIFFER SUSANA CERÓN ORTIZ</t>
  </si>
  <si>
    <t>EGRESADA INGENIERIA COMERCIAL</t>
  </si>
  <si>
    <t>AVENIDA MACUL 6305 DEPTO 1704 A</t>
  </si>
  <si>
    <t>je.ceron.o@gmail.com</t>
  </si>
  <si>
    <t>10566597-0</t>
  </si>
  <si>
    <t>HUMBERTO CRISTIAN BARBERIS ABENDAÑO</t>
  </si>
  <si>
    <t>SAN PEDRO 49</t>
  </si>
  <si>
    <t>barberishumberto@gmail.com</t>
  </si>
  <si>
    <t>16637600-9</t>
  </si>
  <si>
    <t>JENIFER MEJÍAS AYALA</t>
  </si>
  <si>
    <t>EMPRENDEDORA</t>
  </si>
  <si>
    <t>ALICIA 3717</t>
  </si>
  <si>
    <t>jenifer.ayala@gmail.com</t>
  </si>
  <si>
    <t>ESTEFANI FRANCISCA GONZÁLEZ MORALES</t>
  </si>
  <si>
    <t>MADRID OSORIO 728</t>
  </si>
  <si>
    <t>18095480-5</t>
  </si>
  <si>
    <t>CAMILO JESUS MEDEL ROJAS</t>
  </si>
  <si>
    <t>LAGO PIRIHUEICO 6502 DPTO 404-A</t>
  </si>
  <si>
    <t>Camilo.medel.r@gmail.com</t>
  </si>
  <si>
    <t>ESTEFANY GONZÁLEZ</t>
  </si>
  <si>
    <t>15447739-K</t>
  </si>
  <si>
    <t>GILLES SWAMI MARTÍNEZ AGUILERA</t>
  </si>
  <si>
    <t>CONTADOR TRIBUTARIO</t>
  </si>
  <si>
    <t>CORONEL ALVARADO 2505 DEPARTAMENTO 403</t>
  </si>
  <si>
    <t>defendersecu2025@gmail.com</t>
  </si>
  <si>
    <t>15334869-3</t>
  </si>
  <si>
    <t>GRACE CAROL ZAPATA FAÚNDEZ</t>
  </si>
  <si>
    <t>SANTA PETRONILA 28 DEPTO 707</t>
  </si>
  <si>
    <t>ggcarol.zapata@gmail.com</t>
  </si>
  <si>
    <t>20403528-8</t>
  </si>
  <si>
    <t>ISIS PALOMA JIMÉNEZ GONZALEZ</t>
  </si>
  <si>
    <t>ENRIQUE MADRID OSORIO 728</t>
  </si>
  <si>
    <t>isisjimenez892@gmail.com</t>
  </si>
  <si>
    <t>16800740-K</t>
  </si>
  <si>
    <t>FRANCESCA NICOLE SÁNCHEZ PACHECO</t>
  </si>
  <si>
    <t>GENERAL GAMBINO 3200</t>
  </si>
  <si>
    <t>francescasanchez134@gmail.com</t>
  </si>
  <si>
    <t>26180199-K</t>
  </si>
  <si>
    <t>HERLIZ DANIELA REQUENA GAMBOA</t>
  </si>
  <si>
    <t>BEZANILLA 1410</t>
  </si>
  <si>
    <t>herlizr@gmail.com</t>
  </si>
  <si>
    <t>12856739-9</t>
  </si>
  <si>
    <t>GLADYS PAOLA MANRÍQUEZ ROMERO</t>
  </si>
  <si>
    <t>QUINCHAMALI 302</t>
  </si>
  <si>
    <t xml:space="preserve">Gladysmanriquezromero@hotmail.com </t>
  </si>
  <si>
    <t>22589501-5</t>
  </si>
  <si>
    <t>LIZBETH LAURA BAUTISTA SOLANO</t>
  </si>
  <si>
    <t>ASISTENTE ADMINISTRATIVO</t>
  </si>
  <si>
    <t>HANGA ROA12380</t>
  </si>
  <si>
    <t xml:space="preserve">Lizbeth.laura151987@gmail.com </t>
  </si>
  <si>
    <t>18121387-6</t>
  </si>
  <si>
    <t>DANIELA CASTRO VALDEBENITO</t>
  </si>
  <si>
    <t>TÉCNICO EN FINANZAS</t>
  </si>
  <si>
    <t>COQUIMBO 650 DEPTO 374R</t>
  </si>
  <si>
    <t>daniela_castrov@hotmail.com</t>
  </si>
  <si>
    <t>14173801-1</t>
  </si>
  <si>
    <t>KAREN ALEJANDRA CONTRERAS ESPINACE</t>
  </si>
  <si>
    <t>LA CERCA 01107</t>
  </si>
  <si>
    <t xml:space="preserve">Espinace983@gmail.com </t>
  </si>
  <si>
    <t>22547471-0</t>
  </si>
  <si>
    <t>AMANDA SOFIA ARENAS SALAS</t>
  </si>
  <si>
    <t>LA QUINTRALA 2796 COLINA</t>
  </si>
  <si>
    <t>amanditasofiaarenas@gmail.com</t>
  </si>
  <si>
    <t>18513229-3</t>
  </si>
  <si>
    <t>DIEGO ANTONIO MARAMBIO VARAS</t>
  </si>
  <si>
    <t>JULIOS COVARRUBIAS</t>
  </si>
  <si>
    <t>Diego.marambio26@gmail.com</t>
  </si>
  <si>
    <t>16750246-6</t>
  </si>
  <si>
    <t>SABRINA MURIEL FINSTERBUSCH MARIN</t>
  </si>
  <si>
    <t>PUBLICISTA</t>
  </si>
  <si>
    <t>JORGE GONZALEZ BASTIAS 4181</t>
  </si>
  <si>
    <t>sabrina.finsterbusch@gmail.com</t>
  </si>
  <si>
    <t>PASAJE PUNTA CHILEN 4028</t>
  </si>
  <si>
    <t>17836774-9</t>
  </si>
  <si>
    <t>SOLEDAD ANDREA PARRA MOFRE</t>
  </si>
  <si>
    <t>CAMINO LOS PINOS 02251</t>
  </si>
  <si>
    <t>solparramo47@gmail.com</t>
  </si>
  <si>
    <t>15728090-2</t>
  </si>
  <si>
    <t>COACH/ENTRENADOR</t>
  </si>
  <si>
    <t>FRESIA 7500, TORRE 11 DPTO 204</t>
  </si>
  <si>
    <t>rsantana136@gmail.com</t>
  </si>
  <si>
    <t>21342290-1</t>
  </si>
  <si>
    <t>ISIDORA PAZ NANCO BELMAR</t>
  </si>
  <si>
    <t>TRIPULANTE DE CABINA</t>
  </si>
  <si>
    <t>GUARDI 8980</t>
  </si>
  <si>
    <t>Isi.nancobelmar@gmail.com</t>
  </si>
  <si>
    <t>YIPSY BRITO</t>
  </si>
  <si>
    <t>26249017-3</t>
  </si>
  <si>
    <t>CARMEN LUISA LEZAMA ESCORCHE</t>
  </si>
  <si>
    <t>ADMINISTRATIVO</t>
  </si>
  <si>
    <t>LAGO LLEULLEU 6647</t>
  </si>
  <si>
    <t>Karmenlezama@gmail.com</t>
  </si>
  <si>
    <t>15361094-0</t>
  </si>
  <si>
    <t>MARÍA ANGÉLICA CERDA GARRIDO</t>
  </si>
  <si>
    <t>LA CREACIÓN 564</t>
  </si>
  <si>
    <t>m.angelica28@hotmail.es</t>
  </si>
  <si>
    <t>13464904-6</t>
  </si>
  <si>
    <t>JEAN CARLOS MARIPAN BECERRA</t>
  </si>
  <si>
    <t>ASESOR COMY</t>
  </si>
  <si>
    <t>CARMEN SYLVA N 2386</t>
  </si>
  <si>
    <t>jeancmbe@gmail.com</t>
  </si>
  <si>
    <t>17609358-7</t>
  </si>
  <si>
    <t>CAMILA FERNANDA VALENZUELA PALAVECINOS</t>
  </si>
  <si>
    <t>CALLE LOS SUSPIROS 0314</t>
  </si>
  <si>
    <t>camilavalenzuela.palavecinos@gmail.com</t>
  </si>
  <si>
    <t>17060336-2</t>
  </si>
  <si>
    <t>BETZABETH NICOLE CHACÓN QUINTEROS</t>
  </si>
  <si>
    <t>ENRIQUE MADRID OSORIO 633</t>
  </si>
  <si>
    <t>Chaconbetzabeth13@gmail.com</t>
  </si>
  <si>
    <t>10955912-1</t>
  </si>
  <si>
    <t>HILDEBRANT ERNESTO LINEROS SOTO</t>
  </si>
  <si>
    <t>CERRO CHAPULUL PONIENTE 02240</t>
  </si>
  <si>
    <t>hlinerossoto@gmail.com</t>
  </si>
  <si>
    <t>27113596-3</t>
  </si>
  <si>
    <t>MILANYELA ANDREINA OCHOA ESCALANTE</t>
  </si>
  <si>
    <t>ROSAS 1438 DPTO 1711</t>
  </si>
  <si>
    <t>mila300684@gmail.com</t>
  </si>
  <si>
    <t>18661183-7</t>
  </si>
  <si>
    <t>RODRIGO IGNACIO CASTRO FIGUEROA</t>
  </si>
  <si>
    <t>LICENCIADO EN HISTORIA</t>
  </si>
  <si>
    <t>SEGUNDA AVENIDA 1340</t>
  </si>
  <si>
    <t>Rodrigo.castro.figueroa@gmail.com</t>
  </si>
  <si>
    <t>BANCO RIPLEY</t>
  </si>
  <si>
    <t>LUIS NEIRA</t>
  </si>
  <si>
    <t>25499920-2</t>
  </si>
  <si>
    <t>DENISE SÁNCHEZ ARTEAGA</t>
  </si>
  <si>
    <t>CALLE SANTO DOMINGO 2820</t>
  </si>
  <si>
    <t>denisesanhez11@gmail.com</t>
  </si>
  <si>
    <t>11881790-7</t>
  </si>
  <si>
    <t>RAMÓN ALEJANDRO BRAVO BARRIGA</t>
  </si>
  <si>
    <t>ASESORÍAS LEGALES</t>
  </si>
  <si>
    <t>ATÓN 568</t>
  </si>
  <si>
    <t xml:space="preserve">asesoriaslegales95@gmail.com </t>
  </si>
  <si>
    <t>25677109-8</t>
  </si>
  <si>
    <t>JESÚS ALEXANDER MARTÍNEZ OLIVO</t>
  </si>
  <si>
    <t>COACH ONTOLÓGICO</t>
  </si>
  <si>
    <t>MONEDA 1950</t>
  </si>
  <si>
    <t>Derolivo@gmail.com</t>
  </si>
  <si>
    <t>28606150-8</t>
  </si>
  <si>
    <t>NAYROVIS RICHARDS</t>
  </si>
  <si>
    <t>ING INDUSTRIAL</t>
  </si>
  <si>
    <t>MONEDA 3030</t>
  </si>
  <si>
    <t>naytererichardsm@gmail.com</t>
  </si>
  <si>
    <t>15568874-2</t>
  </si>
  <si>
    <t>PAOLA DEL CARMEN OLIVEROS FUENTEALBA</t>
  </si>
  <si>
    <t>INGENIERA</t>
  </si>
  <si>
    <t>EL LIRIO 1164</t>
  </si>
  <si>
    <t>P.oliveros.f@gmail.com</t>
  </si>
  <si>
    <t>22451053-5</t>
  </si>
  <si>
    <t>RENATA ANTONINA CORREA SAAVEDRA</t>
  </si>
  <si>
    <t>ESTUDIANDO</t>
  </si>
  <si>
    <t>PASAJE AGUSTIN VENEGAS YÁÑEZ #1886, SAN BERNARDO</t>
  </si>
  <si>
    <t>Renaacorreasaavedra@gmail.com</t>
  </si>
  <si>
    <t>8313777-0</t>
  </si>
  <si>
    <t>REGINA JASMIN NORAMBUENA MARTINEZ</t>
  </si>
  <si>
    <t>JOSE JOAQUIN VALLEJOS 1572</t>
  </si>
  <si>
    <t>Jasmin_norambuena@hotmail.com</t>
  </si>
  <si>
    <t>20330542-7</t>
  </si>
  <si>
    <t>GABRIELA KATALINA ARCOS SÁNCHEZ</t>
  </si>
  <si>
    <t>ASESOR DE VENTAS</t>
  </si>
  <si>
    <t>CAPITÁN ORELLANA 2575</t>
  </si>
  <si>
    <t>Gabrielakatalina.arcos2112@gmail.com</t>
  </si>
  <si>
    <t>27569260-3</t>
  </si>
  <si>
    <t>ANDRES CARLOS MONGE</t>
  </si>
  <si>
    <t>DARDIGNAC 28</t>
  </si>
  <si>
    <t>andresmng@yahoo.com</t>
  </si>
  <si>
    <t>16094009-3</t>
  </si>
  <si>
    <t>EVELIN ANDREA PEREZ ELGUETA</t>
  </si>
  <si>
    <t>CONTADOR AUDITOR, COACHING ONTOLÓGICO</t>
  </si>
  <si>
    <t>PEDRO FONTOVA 7150 DEPTO 501C</t>
  </si>
  <si>
    <t>evelinperezelgueta@gmail.com</t>
  </si>
  <si>
    <t>27828236-8</t>
  </si>
  <si>
    <t>MARÍA DEL CARMEN DAZA CUADROS</t>
  </si>
  <si>
    <t>AVENIDA SANTA ROSA 365, DPTO. 1209</t>
  </si>
  <si>
    <t>mariadazacuadros@gmail.com</t>
  </si>
  <si>
    <t>19080830-0</t>
  </si>
  <si>
    <t>ANDREA VALESKA SAFFA ROMERO</t>
  </si>
  <si>
    <t>DISEÑADORA INDUSTRIAL</t>
  </si>
  <si>
    <t>CALLE TRES 88</t>
  </si>
  <si>
    <t>andre_saffa@hotmail.com</t>
  </si>
  <si>
    <t>8667865-9</t>
  </si>
  <si>
    <t>DENISSE CATALINA MUÑOZ GOMEZ</t>
  </si>
  <si>
    <t>AGENTE INMOBILIARIO</t>
  </si>
  <si>
    <t>PASAJE BACH 10634</t>
  </si>
  <si>
    <t>demunozgo@gmail.com</t>
  </si>
  <si>
    <t>8004652-9</t>
  </si>
  <si>
    <t>SANTIAGO IVAN BARDI SANTIABAÑEZ</t>
  </si>
  <si>
    <t>GUADARRAMA 396</t>
  </si>
  <si>
    <t>santiagobardis@gmail.com</t>
  </si>
  <si>
    <t>15359015-K</t>
  </si>
  <si>
    <t>SARA ROSA CAMPORA PEREZ</t>
  </si>
  <si>
    <t>SECRETARIA Y ADMINISTRACIÓN DE EMPRESA</t>
  </si>
  <si>
    <t>RENACER 1031</t>
  </si>
  <si>
    <t>saracampora1142@hotmail.com</t>
  </si>
  <si>
    <t>19778242-0</t>
  </si>
  <si>
    <t>JAVIERA DEL PILAR PEREZ RODRIGUEZ</t>
  </si>
  <si>
    <t>EL COIGUE 13180</t>
  </si>
  <si>
    <t>Mateo1313javi@gmail.com</t>
  </si>
  <si>
    <t>26684393-3</t>
  </si>
  <si>
    <t>LUIS CARLOS SÁNCHEZ CARREÑO</t>
  </si>
  <si>
    <t>HIPÓDROMO 1682</t>
  </si>
  <si>
    <t>ingluissanchez0611@gmail.com</t>
  </si>
  <si>
    <t>22721917-3</t>
  </si>
  <si>
    <t>HECTOR MANUEL ISAAC PEREZ PEREZ</t>
  </si>
  <si>
    <t>RAÍCES 1583</t>
  </si>
  <si>
    <t>hp746647@gmail.com</t>
  </si>
  <si>
    <t>15715418-4</t>
  </si>
  <si>
    <t>ELIZABETH ISABEL BELMAR GONZALEZ</t>
  </si>
  <si>
    <t>PASAJE 114-B 989</t>
  </si>
  <si>
    <t>belmarelizabeth23@gmail.com</t>
  </si>
  <si>
    <t>22061859-5</t>
  </si>
  <si>
    <t>VALENTINA ODETH IGNACIA PEREZ PEREZ</t>
  </si>
  <si>
    <t>BERNARDO PHILLIPI 12687</t>
  </si>
  <si>
    <t>Ignaciavalentinap@gmail.com</t>
  </si>
  <si>
    <t>13834781-8</t>
  </si>
  <si>
    <t>CLANCY SUE CORNEJO VILLALOBOS</t>
  </si>
  <si>
    <t>MORANDE 696</t>
  </si>
  <si>
    <t>9189905-1</t>
  </si>
  <si>
    <t>PABLO ANTONIO MORA ZUÑIGA</t>
  </si>
  <si>
    <t>POEMA VEINTE 3035</t>
  </si>
  <si>
    <t>pablomorazuniga@gmail.com</t>
  </si>
  <si>
    <t>17611429-0</t>
  </si>
  <si>
    <t>NATALY BERNARDITA SEGURA SOTO</t>
  </si>
  <si>
    <t>CALLE UNO 808</t>
  </si>
  <si>
    <t>nata.segurasoto@gmail.com</t>
  </si>
  <si>
    <t>21920050-1</t>
  </si>
  <si>
    <t>BENJAMIN IGNACIO SANTANA CURIQUEO</t>
  </si>
  <si>
    <t>TRAPICHE 942</t>
  </si>
  <si>
    <t>benjamin.santanac20@gmail.com</t>
  </si>
  <si>
    <t>18021791-6</t>
  </si>
  <si>
    <t>GABRIEL IGNACIO ORTIZ COLOMA</t>
  </si>
  <si>
    <t>INGENIERO EN COMERCIO INTERNACIONAL</t>
  </si>
  <si>
    <t>DARDIGNAC 65, CASA 12</t>
  </si>
  <si>
    <t>gortizcoloma@gmail.com</t>
  </si>
  <si>
    <t>19546350-6</t>
  </si>
  <si>
    <t>KAINA PUEBLA AGUILAR</t>
  </si>
  <si>
    <t>DUEÑA DE CASA</t>
  </si>
  <si>
    <t>PSJ FU NIN 0475</t>
  </si>
  <si>
    <t>kainapuebla21@gmail.com</t>
  </si>
  <si>
    <t>18469642-8</t>
  </si>
  <si>
    <t>PATRICIA DENISSE CASTILLO FREDES</t>
  </si>
  <si>
    <t>LOS COLIBRIES 16254</t>
  </si>
  <si>
    <t>denissecastillof26@gmail.com</t>
  </si>
  <si>
    <t>26765417-4</t>
  </si>
  <si>
    <t>ERICK RENÉ PETIT ALVARADO</t>
  </si>
  <si>
    <t>LO PRADO 6930</t>
  </si>
  <si>
    <t>erickpetit47@gmail.com</t>
  </si>
  <si>
    <t>15332125-6</t>
  </si>
  <si>
    <t>GABRIELA PAULINA ARCE RIVEROS</t>
  </si>
  <si>
    <t>INGENIERO AGRÓNOMO</t>
  </si>
  <si>
    <t>SANTA CARMEN 2741</t>
  </si>
  <si>
    <t>Gp.arce.ri@gmail.com</t>
  </si>
  <si>
    <t>26436593-7</t>
  </si>
  <si>
    <t>GABRIELA GISELLE RIVERA RUIZ</t>
  </si>
  <si>
    <t>LICENCIADA EN ENFERMERÍA</t>
  </si>
  <si>
    <t>ALAMEDA PARK 4320</t>
  </si>
  <si>
    <t>Gabrielariveraruiz1986@gmail.com</t>
  </si>
  <si>
    <t>12607546-4</t>
  </si>
  <si>
    <t>MIKE RICHARD ORTEGA DIAZ</t>
  </si>
  <si>
    <t>VICUÑA MACKENNA #124</t>
  </si>
  <si>
    <t>mikeallure@gmail.com</t>
  </si>
  <si>
    <t>18726687-4</t>
  </si>
  <si>
    <t>ERIKA DONOSO MALVINO</t>
  </si>
  <si>
    <t>CLUB CAMPUSANO 2091. BUIN</t>
  </si>
  <si>
    <t>erikadonoso8@gmail.com</t>
  </si>
  <si>
    <t>HUMBERTO BARBERIS</t>
  </si>
  <si>
    <t>14608979-8</t>
  </si>
  <si>
    <t>RAÚL ANDRÉS CALDERÓN CHÁVEZ</t>
  </si>
  <si>
    <t>AVENIDA ELÍAS 112, DEPTO 12</t>
  </si>
  <si>
    <t>VALPARAÍSO</t>
  </si>
  <si>
    <t>calderon.raul1@gmail.com</t>
  </si>
  <si>
    <t>18425596-0</t>
  </si>
  <si>
    <t>FLOR BUSTAMANTE MOMBIELA</t>
  </si>
  <si>
    <t>COMUNICADORA Y RELACIONADORA PÚBLICA</t>
  </si>
  <si>
    <t>CATORCE DE LA FAMA 2568</t>
  </si>
  <si>
    <t>fbustmom@gmail.com</t>
  </si>
  <si>
    <t>13878158-5</t>
  </si>
  <si>
    <t>PAULA VIRGINIA ORTEGA RAMIREZ</t>
  </si>
  <si>
    <t>EL VERGEL 152, CERRO LA CRUZ</t>
  </si>
  <si>
    <t>portegaramirez5@gmail.com</t>
  </si>
  <si>
    <t>21496990-4</t>
  </si>
  <si>
    <t>SEBASTIÁN DAVID SÁEZ SANDOVAL</t>
  </si>
  <si>
    <t>PASAJE DORCAS #0573</t>
  </si>
  <si>
    <t>Sebastiándavidsaez27@gmail.com</t>
  </si>
  <si>
    <t>JENNIFER CERÓN</t>
  </si>
  <si>
    <t>12038158-K</t>
  </si>
  <si>
    <t>TERESA VERGARA CORTÉS</t>
  </si>
  <si>
    <t>ADM DE EMPRESAS</t>
  </si>
  <si>
    <t>LOS AMERINDIOS 1095, JUAN FRANCISCO GONZALEZ</t>
  </si>
  <si>
    <t>Teredbs2022@gmail.com</t>
  </si>
  <si>
    <t>11832394-7</t>
  </si>
  <si>
    <t>MIGUEL ANGEL DIAZ ZUÑIGA</t>
  </si>
  <si>
    <t>ANDORRA 26</t>
  </si>
  <si>
    <t>VIÑA DEL MAR</t>
  </si>
  <si>
    <t xml:space="preserve">Migueldiazzuniga@gmail.com </t>
  </si>
  <si>
    <t>14582270-K</t>
  </si>
  <si>
    <t>JOHANNA MARIA HUERTA OLAVE</t>
  </si>
  <si>
    <t>VOLCÁN OSORNO 286</t>
  </si>
  <si>
    <t>CONCÓN</t>
  </si>
  <si>
    <t>Johanna.huerta.olave@hotmail.com</t>
  </si>
  <si>
    <t>10350389-2</t>
  </si>
  <si>
    <t>HECTOR ALBERTO ARRIAGADA CORREA</t>
  </si>
  <si>
    <t>2 ORIENTE 133</t>
  </si>
  <si>
    <t xml:space="preserve">Hectorarriagadacorrea@gmail.com </t>
  </si>
  <si>
    <t>15359649-2</t>
  </si>
  <si>
    <t>LORENA INÉS ROMERO SALAZAR</t>
  </si>
  <si>
    <t>HERUE RUDICINDO ZUÑIGA 411</t>
  </si>
  <si>
    <t>lorenaromerosalazar089@gmail.com</t>
  </si>
  <si>
    <t>14702936-5</t>
  </si>
  <si>
    <t>MARGARITA LINDA MALPARTIDA PALZA</t>
  </si>
  <si>
    <t>SUBLIMADO Y ESTAMPADO PERSONALIZADO.</t>
  </si>
  <si>
    <t>AV. PRINCIPAL 718 RECOLETA</t>
  </si>
  <si>
    <t>margarita09l.malpartida@gmail.com</t>
  </si>
  <si>
    <t>10111035-4</t>
  </si>
  <si>
    <t>MARITZA PATRIA ROJAS SCHANLANDER</t>
  </si>
  <si>
    <t>LINDEROS 21</t>
  </si>
  <si>
    <t>daraschanlander@gmail.com</t>
  </si>
  <si>
    <t>12875794-5</t>
  </si>
  <si>
    <t>DAVID SANTIAGO LAGOS DÍAZ</t>
  </si>
  <si>
    <t>ASESOR COMERCIALM</t>
  </si>
  <si>
    <t>RAMÓN CORDERO 547 DEPTO A</t>
  </si>
  <si>
    <t>davidsantiago7575@gmail.com</t>
  </si>
  <si>
    <t>15021649-4</t>
  </si>
  <si>
    <t>PAOLA ANDREA ARANCIBIA DOMÍNGUEZ</t>
  </si>
  <si>
    <t>RELACIONADORA PÚBLICA</t>
  </si>
  <si>
    <t>AV GUANACO NORTE 1570</t>
  </si>
  <si>
    <t>paolarancibiad@gmail.com</t>
  </si>
  <si>
    <t>19584445-3</t>
  </si>
  <si>
    <t>MARÍA JOSÉ IRARRAZABAL ACEVEDO</t>
  </si>
  <si>
    <t>NO</t>
  </si>
  <si>
    <t>GONZALO BULNES 2319</t>
  </si>
  <si>
    <t>Josefaacevedo.acevedoo@gmail.com</t>
  </si>
  <si>
    <t>20100065-3</t>
  </si>
  <si>
    <t>FIORELLA PAZ MICHELIN NAVARRO</t>
  </si>
  <si>
    <t>MATRONA</t>
  </si>
  <si>
    <t>NUEVA DE MATTE 2611</t>
  </si>
  <si>
    <t>fio.paz.93@gmail.com</t>
  </si>
  <si>
    <t>27109000-5</t>
  </si>
  <si>
    <t>DIEGO ALEJANDRO VASQUEZ FLORES</t>
  </si>
  <si>
    <t>BAHIA INDIA 3946</t>
  </si>
  <si>
    <t>Dvasquez1986@gmail.com</t>
  </si>
  <si>
    <t>10410981-0</t>
  </si>
  <si>
    <t>XIMENA OLIVIA OJEDA HINOSTROZA</t>
  </si>
  <si>
    <t>EGRESADA DE DERECHO</t>
  </si>
  <si>
    <t>ENRIQUE OLIVARES 1127</t>
  </si>
  <si>
    <t xml:space="preserve">ximena.ojedahinostroza@yahoo.es </t>
  </si>
  <si>
    <t>28997180-7</t>
  </si>
  <si>
    <t>BRYAN JORDY ALPIRE RUIZ</t>
  </si>
  <si>
    <t>AV DIAGONAL TRAVESÍA 8721 , AMALIA 102</t>
  </si>
  <si>
    <t>alpirebryan@gmail.com</t>
  </si>
  <si>
    <t>14363559-7</t>
  </si>
  <si>
    <t>JOCELYN KAREN ACEVEDO ACEVEDO</t>
  </si>
  <si>
    <t>jocelyn.subercaseaux@gmail.com</t>
  </si>
  <si>
    <t>16174016-0</t>
  </si>
  <si>
    <t>FREDDY FABIAN NUÑEZ LAVANDERO</t>
  </si>
  <si>
    <t>LOS COPIHUES 501</t>
  </si>
  <si>
    <t>Freddynlavandero@gmail.com</t>
  </si>
  <si>
    <t>27858973-0</t>
  </si>
  <si>
    <t>NHARIALBY GUILLEN</t>
  </si>
  <si>
    <t>ESTUDIANTE UNIVERSITARIA</t>
  </si>
  <si>
    <t>LAGO CHUNGARA 7052</t>
  </si>
  <si>
    <t>nharialbyguillen@gmail.com</t>
  </si>
  <si>
    <t>17010792-6</t>
  </si>
  <si>
    <t>LORETO ANDREA NICOLE MUÑOZ SALGADO</t>
  </si>
  <si>
    <t>TÉCNICO PÁRVULOS</t>
  </si>
  <si>
    <t>LOS RETAMOS 3006</t>
  </si>
  <si>
    <t>munozloreto60@gmail.com</t>
  </si>
  <si>
    <t>12774636-2</t>
  </si>
  <si>
    <t>EUGENIA GLORIA PUGH MUÑOZ</t>
  </si>
  <si>
    <t>AV. JOSÉ PEDRO ALESSANDRI 1620 DPTO 706</t>
  </si>
  <si>
    <t>eugeniapugh@gmail.com</t>
  </si>
  <si>
    <t>8517880-6</t>
  </si>
  <si>
    <t>MARGARITA CRISTINA ROJAS QUEZADA</t>
  </si>
  <si>
    <t>VENDEDORA / DISEÑADORA</t>
  </si>
  <si>
    <t>SANTA MONICA 8382</t>
  </si>
  <si>
    <t>Creaciones.definicion2023@gmail.com</t>
  </si>
  <si>
    <t>12856176-5</t>
  </si>
  <si>
    <t>ALEJANDRA EDITH OTELO ZUÑIGA</t>
  </si>
  <si>
    <t>ADMINISTRADOR O SUPERVISOR</t>
  </si>
  <si>
    <t>MARTINEZ DE ROZAS 4449 DEPTO A 503</t>
  </si>
  <si>
    <t>otelo74zeta@gmail.com</t>
  </si>
  <si>
    <t>BANCO CHILE</t>
  </si>
  <si>
    <t>26325114-8</t>
  </si>
  <si>
    <t>EMPERATRIZ ALEXANDRA FRANCO MOSQUERA</t>
  </si>
  <si>
    <t>AV EGAÑA1400</t>
  </si>
  <si>
    <t>alexandrae1@hotmail.com</t>
  </si>
  <si>
    <t>EATADO</t>
  </si>
  <si>
    <t>16115129-7</t>
  </si>
  <si>
    <t>NAYARET TATIANA PUGA MARCHANT</t>
  </si>
  <si>
    <t>RAMÓN BARROS LUCO 9139</t>
  </si>
  <si>
    <t>Naya.puga2019@gmail.com</t>
  </si>
  <si>
    <t>21388644-4</t>
  </si>
  <si>
    <t>ADA VALENTINA MORENO MORALES</t>
  </si>
  <si>
    <t>MARIANO CIFUENTES GREZ 4410</t>
  </si>
  <si>
    <t>Adavalentina137@gmail.com</t>
  </si>
  <si>
    <t>CHILENA</t>
  </si>
  <si>
    <t>15510038-9</t>
  </si>
  <si>
    <t>VERÓNICA CECILIA GONZÁLEZ MORALES</t>
  </si>
  <si>
    <t>QUITALMAHUE 0537</t>
  </si>
  <si>
    <t>Verogonmorales@gmail.com</t>
  </si>
  <si>
    <t>15929906-6</t>
  </si>
  <si>
    <t>CAMILA BARRIOS QUEZADA</t>
  </si>
  <si>
    <t>NUTRICIONISTA</t>
  </si>
  <si>
    <t>SEGUNDA TRANSVERSAL</t>
  </si>
  <si>
    <t>camybarrios@gmail.com</t>
  </si>
  <si>
    <t>BCI MACH</t>
  </si>
  <si>
    <t>13119496-K</t>
  </si>
  <si>
    <t>RICARDO NAIPIL</t>
  </si>
  <si>
    <t>VALLADOLID 6990 J</t>
  </si>
  <si>
    <t>ricardojavir@gmail.com</t>
  </si>
  <si>
    <t>27208436-K</t>
  </si>
  <si>
    <t>CESAR TOLEDO</t>
  </si>
  <si>
    <t>RECEPCIONISTA</t>
  </si>
  <si>
    <t>AV LAS SALINAS 1170, LAS CRUCES. EL TABO</t>
  </si>
  <si>
    <t>toledomcesarj@gmail.com</t>
  </si>
  <si>
    <t>17835176-1</t>
  </si>
  <si>
    <t>JAVIERA DEL PILAR CAROS LARA</t>
  </si>
  <si>
    <t>INGENIERA EN COMERCIO INTERNACIONAL</t>
  </si>
  <si>
    <t>JOSÉ MANUEL INFANTE 7</t>
  </si>
  <si>
    <t>javicaroslara@gmail.com</t>
  </si>
  <si>
    <t>20858070-1</t>
  </si>
  <si>
    <t>FELIPE RIQUELME</t>
  </si>
  <si>
    <t>OSCAR BONILLA 1875</t>
  </si>
  <si>
    <t>Felipe.riquelme2310@gmail.com</t>
  </si>
  <si>
    <t>EDWARD</t>
  </si>
  <si>
    <t>11549350-7</t>
  </si>
  <si>
    <t>XIMENA SCARLETT GUZMÁN GARCÉS</t>
  </si>
  <si>
    <t>VOLCÁN LASTARRIA 5905</t>
  </si>
  <si>
    <t>xime.scar.gg@gmail.com</t>
  </si>
  <si>
    <t>FALABELLA</t>
  </si>
  <si>
    <t>14413170-3</t>
  </si>
  <si>
    <t>TOMAS PROVOSTE NAVARRETE</t>
  </si>
  <si>
    <t>ADMINISTRADOR DE EMPRESAS</t>
  </si>
  <si>
    <t>ONOFRE JARPA 2367</t>
  </si>
  <si>
    <t>provostenavarrete@gmail.com</t>
  </si>
  <si>
    <t>26663112-0</t>
  </si>
  <si>
    <t>YORMAN ENRIQUE HERRERA EGURROLA</t>
  </si>
  <si>
    <t>ECONOMISTA</t>
  </si>
  <si>
    <t>AV SALESIANOS 1190</t>
  </si>
  <si>
    <t>h.yorman@gmail.com</t>
  </si>
  <si>
    <t>24604379-5</t>
  </si>
  <si>
    <t>KELLY TATIANA ARANDO MORALES</t>
  </si>
  <si>
    <t>TÉCNICO NIVEL MEDIO DE ENFERMERÍA</t>
  </si>
  <si>
    <t>PASO EL ROBLE 139</t>
  </si>
  <si>
    <t>arandotatiana@gmail.com</t>
  </si>
  <si>
    <t>18707400-2</t>
  </si>
  <si>
    <t>LUIS FELIPE NEIRA CABELLO</t>
  </si>
  <si>
    <t>JOSÉ MIGUEL INFANTE 7622</t>
  </si>
  <si>
    <t>Luisfelipeceo@gmail.com</t>
  </si>
  <si>
    <t>18569330-9</t>
  </si>
  <si>
    <t>BELÉN ARACELI LAGOS CORNEJO</t>
  </si>
  <si>
    <t>PIEDRAS DE CHILE 418</t>
  </si>
  <si>
    <t>belenlagoscornejo@gmail.com</t>
  </si>
  <si>
    <t>BCO ESTADO</t>
  </si>
  <si>
    <t>18218515-9</t>
  </si>
  <si>
    <t>YARELA FERNANDA ROCO GONZÁLEZ</t>
  </si>
  <si>
    <t>PASAJE PADRE PIO 862</t>
  </si>
  <si>
    <t>yarelaroco.24@gmail.com</t>
  </si>
  <si>
    <t>17545096-3</t>
  </si>
  <si>
    <t>LISBETH MACARENA URIZAR ACOSTA</t>
  </si>
  <si>
    <t>TÉCNICO TRABAJO SOCIAL</t>
  </si>
  <si>
    <t>MANUEL ANTONIO MATTA 524 DPTO 2035</t>
  </si>
  <si>
    <t>Lisbeth.urizara@gmail.com</t>
  </si>
  <si>
    <t>14394325-9</t>
  </si>
  <si>
    <t>ALEJANDRA PATRICIA VALENZUELA ORTEGA</t>
  </si>
  <si>
    <t>OCÉANO ATLÁNTICO 2361</t>
  </si>
  <si>
    <t>ale.valenzu@gmail.com</t>
  </si>
  <si>
    <t>26658926-3</t>
  </si>
  <si>
    <t>FREDDY JESÚS RAMÍREZ MARTÍNEZ</t>
  </si>
  <si>
    <t>ADMINISTRACIÓN Y MERCADEO, ADMINISTRACIÓN DE EMPRESAS.</t>
  </si>
  <si>
    <t>MARÍA ROZAS VELÁZQUEZ 45, DPTO 1810.</t>
  </si>
  <si>
    <t>framirez.ejecutivo@gmail.com</t>
  </si>
  <si>
    <t>12652699-7</t>
  </si>
  <si>
    <t>MARICEL ELIANA GONZÁLEZ CUEVAS</t>
  </si>
  <si>
    <t>SECRETARIADO EJECUTIVA</t>
  </si>
  <si>
    <t>LOS DUCADOS 210</t>
  </si>
  <si>
    <t xml:space="preserve">Maricelgc05@gmail.com </t>
  </si>
  <si>
    <t>21179103-9</t>
  </si>
  <si>
    <t>YASMIN BELEN FARIAS CARCAMO</t>
  </si>
  <si>
    <t>GENARO ARAYA 444</t>
  </si>
  <si>
    <t>Yasmin27belen@gmail.com</t>
  </si>
  <si>
    <t>15930640-2</t>
  </si>
  <si>
    <t>VALENTINA STEPHANIE OLGUÍN ORMAZABAL</t>
  </si>
  <si>
    <t>AGENTE</t>
  </si>
  <si>
    <t>ASUNCIÓN 1185</t>
  </si>
  <si>
    <t>vsolguino@gmail.com</t>
  </si>
  <si>
    <t>28098339-K</t>
  </si>
  <si>
    <t>RAMONA VIRGINIA INOA MONTERO</t>
  </si>
  <si>
    <t>PRESIDENTE JORGE ALEXANDRI RODRÍGUEZ 12434</t>
  </si>
  <si>
    <t>ramonainoa498@gmail.com</t>
  </si>
  <si>
    <t>DOMINICANA</t>
  </si>
  <si>
    <t>9494159-8</t>
  </si>
  <si>
    <t>MARCO BERNARDO VARGAS VALENCIA</t>
  </si>
  <si>
    <t>PROGRAMADOR EN COMPUTACIÓN CON MENCIÓN EN APLICACIONES COMERCIALES</t>
  </si>
  <si>
    <t>TENIENTE PONCE 1460</t>
  </si>
  <si>
    <t>marcobvargasv@gmail.com</t>
  </si>
  <si>
    <t>21797055-5</t>
  </si>
  <si>
    <t>GERALDINE SCARLETTE ADRIAZOLA VIVANCO</t>
  </si>
  <si>
    <t>AGENTE SERVICIO AL PASAJERO</t>
  </si>
  <si>
    <t>HAIFA 1569</t>
  </si>
  <si>
    <t>Geraldine.scarlette17@gmail.com</t>
  </si>
  <si>
    <t>20781924-7</t>
  </si>
  <si>
    <t>CAROLINA URRA</t>
  </si>
  <si>
    <t>AV. PEDRO DONOSO 358</t>
  </si>
  <si>
    <t>Lina.358.p4@gmail.com</t>
  </si>
  <si>
    <t>OCTAVIO SANTIBÁÑEZ</t>
  </si>
  <si>
    <t>21321773-9</t>
  </si>
  <si>
    <t>ESTEFANO EXEQUIEL SAAVEDRA ÁLVAREZ</t>
  </si>
  <si>
    <t>INGENIERÍA EN ADMINISTRACIÓN MENCIÓN FINANZAS</t>
  </si>
  <si>
    <t>CAMINO LAS PARCELAS FUNDO LOS MAITENES N29</t>
  </si>
  <si>
    <t>estefano.saa27@gmail.com</t>
  </si>
  <si>
    <t>18018964-5</t>
  </si>
  <si>
    <t>RICARDO ANDRÉS MATAS SERRANO</t>
  </si>
  <si>
    <t>AVDA. ESPAÑA #77, DEPTO 322</t>
  </si>
  <si>
    <t>rmatass@hotmail.com</t>
  </si>
  <si>
    <t>20209263-2</t>
  </si>
  <si>
    <t>PAMELA ANDREA MANRÍQUEZ AGUILERA</t>
  </si>
  <si>
    <t>LÍA AGUIRRE 95</t>
  </si>
  <si>
    <t>p.andreaaguilera1999@gmail.com</t>
  </si>
  <si>
    <t>15475806-2</t>
  </si>
  <si>
    <t>LEONARDO ESTEBAN FLORES CEA</t>
  </si>
  <si>
    <t>ADMINISTRADOR DE EMPRESA</t>
  </si>
  <si>
    <t>MORANDÉ 835</t>
  </si>
  <si>
    <t>Leonardo.flores@teleb.cl</t>
  </si>
  <si>
    <t>21559406-8</t>
  </si>
  <si>
    <t>JONATHAN JOEL ROJAS SAN MARTIN</t>
  </si>
  <si>
    <t>LAGO BALMACEDA 0448, PUENTE ALTO</t>
  </si>
  <si>
    <t>rojassanmartin013@gmail.com</t>
  </si>
  <si>
    <t>11695349-8</t>
  </si>
  <si>
    <t>PATRICIA DELIA DEL RÍO ETCHEBERRY</t>
  </si>
  <si>
    <t>EJECUTIVA COMERCIAL</t>
  </si>
  <si>
    <t>COVADONGA 20</t>
  </si>
  <si>
    <t>p.delrio.et@gmail.com</t>
  </si>
  <si>
    <t>16501881-8</t>
  </si>
  <si>
    <t>ROLANDO VARGAS MELÉNDEZ</t>
  </si>
  <si>
    <t>EMPLEADO PÚBLICO</t>
  </si>
  <si>
    <t>EDMUNDO ELUCHANS 1737, REÑACA, VIÑA DEL MAR.</t>
  </si>
  <si>
    <t>vargasmrolando@gmail.com</t>
  </si>
  <si>
    <t>10201671-8</t>
  </si>
  <si>
    <t>SUSANA IVONNE ULLOA PINO</t>
  </si>
  <si>
    <t>AMUNÁTEGUI 573 DEPTO 1604</t>
  </si>
  <si>
    <t>su.ulloa.p@gmail.con</t>
  </si>
  <si>
    <t>12473221-2</t>
  </si>
  <si>
    <t>RODRIGO PERALTA BASTIAS</t>
  </si>
  <si>
    <t>TÉCNICO EN SONIDO</t>
  </si>
  <si>
    <t>RECOLETA CALLE CALEUCHE</t>
  </si>
  <si>
    <t>Rodrigoperaltapartida@gmail.com</t>
  </si>
  <si>
    <t>22351872-8</t>
  </si>
  <si>
    <t>JOSEFA IGNACIA OSORIO PONTIGO</t>
  </si>
  <si>
    <t>SIN PROFESIÓN</t>
  </si>
  <si>
    <t>VILLA NOCEDAL 1 PASAJE CERRO PLOMO #0345</t>
  </si>
  <si>
    <t>Josefita.osorio17@gmail.com</t>
  </si>
  <si>
    <t>9040501-2</t>
  </si>
  <si>
    <t>HERIBERTO DAVID FERREIRA ZEBALLOS</t>
  </si>
  <si>
    <t>TÉCNICO DE NIVEL SUPERIOR</t>
  </si>
  <si>
    <t>GUANACO 2061 DPTO 20</t>
  </si>
  <si>
    <t>hferreiraz@hotmail.com</t>
  </si>
  <si>
    <t>17166806-9</t>
  </si>
  <si>
    <t>NICOLE STEPHANIE MALDONADO GODOY</t>
  </si>
  <si>
    <t>ESTETICISTA INTEGRAL</t>
  </si>
  <si>
    <t>PASAJE GENERAL CARRERA 2734</t>
  </si>
  <si>
    <t>Teffimgodoy@gmail.com</t>
  </si>
  <si>
    <t>28170052-9</t>
  </si>
  <si>
    <t>RUTH EMILCE GUZMÁN NINA</t>
  </si>
  <si>
    <t>ING. COMERCIAL</t>
  </si>
  <si>
    <t>BUZO SOBENES 4650</t>
  </si>
  <si>
    <t>ruthguzmannina2023@gmail.com</t>
  </si>
  <si>
    <t>19383392-6</t>
  </si>
  <si>
    <t>JOHANN ANTONIO DONOSO BARBET</t>
  </si>
  <si>
    <t>INGENIERO EN ADMINISTRACIÓN</t>
  </si>
  <si>
    <t>EL SAGRARIO 13665</t>
  </si>
  <si>
    <t xml:space="preserve">johanndonoso@gmail.com </t>
  </si>
  <si>
    <t>16481712-1</t>
  </si>
  <si>
    <t>MAXIMILIANO ANDRÉS QUEZADA CAMPOS</t>
  </si>
  <si>
    <t>VEJER DE LA FRONTERA #10778</t>
  </si>
  <si>
    <t>maximax2630@gmail.com</t>
  </si>
  <si>
    <t>22272978-5</t>
  </si>
  <si>
    <t>DENIS ANDREA VERGARA ULLOA</t>
  </si>
  <si>
    <t>PASAJE FRUTO ORIENTE 1510</t>
  </si>
  <si>
    <t>Denissevergara24@gmail.com</t>
  </si>
  <si>
    <t>19418770-K</t>
  </si>
  <si>
    <t>FRANCISCA LORENA GONZÁLEZ NÚÑEZ</t>
  </si>
  <si>
    <t>TECNOLOGÍA MÉDICA</t>
  </si>
  <si>
    <t>LAS CAMPANULAS 396</t>
  </si>
  <si>
    <t>franloregn@gmail.com</t>
  </si>
  <si>
    <t>16357815-8</t>
  </si>
  <si>
    <t>HUMBERTO ALEJANDRO CARRASCO FLORES</t>
  </si>
  <si>
    <t>AV AEROPUERTO 384</t>
  </si>
  <si>
    <t>H.a.carrasco.f@gmail.com</t>
  </si>
  <si>
    <t>19419943-0</t>
  </si>
  <si>
    <t>DANIELA ALMENDRA CALLUQUEO MORENO</t>
  </si>
  <si>
    <t>COMUNICADORA</t>
  </si>
  <si>
    <t>SANTO DOMINGO 755</t>
  </si>
  <si>
    <t>daniela.calluqueo.m@gmail.com</t>
  </si>
  <si>
    <t>21875993-9</t>
  </si>
  <si>
    <t>SOFIA IGNACIA CHAMORRO HERRERA</t>
  </si>
  <si>
    <t>LOS SATÉLITES 176</t>
  </si>
  <si>
    <t>sofiachamorrob72@gmail.com</t>
  </si>
  <si>
    <t>24868573-5</t>
  </si>
  <si>
    <t>ANA CRISTINA GONZALES GONZALES</t>
  </si>
  <si>
    <t>anagonzalesgg123@gmail.com</t>
  </si>
  <si>
    <t>20280807-7</t>
  </si>
  <si>
    <t>YARA SCARLETTE SARNO MINIO</t>
  </si>
  <si>
    <t>FUENZALIDA URREJOLA 269</t>
  </si>
  <si>
    <t>Yara.sarno16@gmail.com</t>
  </si>
  <si>
    <t>26316160-2</t>
  </si>
  <si>
    <t>LEOMAR JESUS NOGUERA PALACIOS</t>
  </si>
  <si>
    <t>CAMINO DEL ACUEDUCTO 3460</t>
  </si>
  <si>
    <t>leomar1481@gmail.com</t>
  </si>
  <si>
    <t>15786780-6</t>
  </si>
  <si>
    <t>DAVID ALEXIS ARRIAGADA CASTILLO</t>
  </si>
  <si>
    <t>VOLCÁN TUPUNGATO 5954</t>
  </si>
  <si>
    <t>david.arriagada.c@gmail.com</t>
  </si>
  <si>
    <t>1663712-1</t>
  </si>
  <si>
    <t>YASNA BRAVO SÁEZ</t>
  </si>
  <si>
    <t>PSICOLOGA</t>
  </si>
  <si>
    <t>FSRELLONES 4411</t>
  </si>
  <si>
    <t xml:space="preserve">Yasnabravosaez@gmail.com </t>
  </si>
  <si>
    <t>13258957-7</t>
  </si>
  <si>
    <t>CAROLINA SUSANA ALISTER OLIVA</t>
  </si>
  <si>
    <t>PASAJE VENETTIA # 2993</t>
  </si>
  <si>
    <t>carolina_peluquera@hotmail.com</t>
  </si>
  <si>
    <t>12517323-3</t>
  </si>
  <si>
    <t>MALVINA DEL CARMEN VALDIVIA JIMENEZ</t>
  </si>
  <si>
    <t>AV.PORTALES 834</t>
  </si>
  <si>
    <t>malvinacvj@gmail.com</t>
  </si>
  <si>
    <t>ITAU</t>
  </si>
  <si>
    <t>19287852-7</t>
  </si>
  <si>
    <t>CATALINA PATRICIA CABRERA HORMAZÁBAL</t>
  </si>
  <si>
    <t>ALSINO SUR 109 B</t>
  </si>
  <si>
    <t>catalinacabrerahormazabal@gmail.com</t>
  </si>
  <si>
    <t>19752055-8</t>
  </si>
  <si>
    <t>JAVIER IGNACIO GRIMBERG INZUNZA</t>
  </si>
  <si>
    <t>GASTRONOMÍA INTERNACIONAL</t>
  </si>
  <si>
    <t>AV. FERMIN VIVACETA 3750</t>
  </si>
  <si>
    <t>Xavier.grim.inzun@gmail.com</t>
  </si>
  <si>
    <t>10657343-3</t>
  </si>
  <si>
    <t>JENNY MARLENE SILVA BORDEL</t>
  </si>
  <si>
    <t>SECRETARIA EJECUTIVA, CORREDORA DE PROPIEDADES</t>
  </si>
  <si>
    <t>DEL REY 1032</t>
  </si>
  <si>
    <t>jennycomercial.s@gmail.com</t>
  </si>
  <si>
    <t>10671865-2</t>
  </si>
  <si>
    <t>MARLENE OSSES SALINAS</t>
  </si>
  <si>
    <t>ASISTENTE DE ENFERMO</t>
  </si>
  <si>
    <t>PASEO LOS PERALES 3670</t>
  </si>
  <si>
    <t>osses.marly@gmail.com</t>
  </si>
  <si>
    <t>ÓSCAR BERRÍOS</t>
  </si>
  <si>
    <t>10826409-8</t>
  </si>
  <si>
    <t>ALICIA TERESA JOFRE ORTIZ</t>
  </si>
  <si>
    <t>MANUEL RODRÍGUEZ 2980, DPTO 411</t>
  </si>
  <si>
    <t>aliciajofreo@gmail.com</t>
  </si>
  <si>
    <t>FELIPE SANDOVAL</t>
  </si>
  <si>
    <t>18637886-5</t>
  </si>
  <si>
    <t>ANDREA LILIANA ESPINOZA DONOSO</t>
  </si>
  <si>
    <t>INGENIERA EN ALIMENTOS, INDEPENDIENTE</t>
  </si>
  <si>
    <t>AVENIDA PAJARITOS 5462, MAIPÚ</t>
  </si>
  <si>
    <t>andreixdy@gmail.com</t>
  </si>
  <si>
    <t>21040336-1</t>
  </si>
  <si>
    <t>BAITHIARE ESTEFANÍA GARAY OYARZÚN</t>
  </si>
  <si>
    <t>LOS CORRALES 23</t>
  </si>
  <si>
    <t>baithiaregaray62@gmail.com</t>
  </si>
  <si>
    <t>21192240-0</t>
  </si>
  <si>
    <t>BELEN CONSTANZA BASTIAS GARCIA</t>
  </si>
  <si>
    <t>OCHO DE NOVIEMBRE 1996</t>
  </si>
  <si>
    <t xml:space="preserve">Belenbastiascelr@gmail.com </t>
  </si>
  <si>
    <t>18150664-4</t>
  </si>
  <si>
    <t>BIANCA DEL CARMEN SOTO VASQUEZ</t>
  </si>
  <si>
    <t>ISMAEL BRICEÑO  DPTO 46</t>
  </si>
  <si>
    <t>bianca.soto.vasquez@gmail.com</t>
  </si>
  <si>
    <t>15253317-9</t>
  </si>
  <si>
    <t>DANIEL ALEJANDRO CARRASCO ROA</t>
  </si>
  <si>
    <t>VILLASANA 1451 A DPTO 1601</t>
  </si>
  <si>
    <t xml:space="preserve">d.carrasco.roa1@gmail.com </t>
  </si>
  <si>
    <t>17564185-8</t>
  </si>
  <si>
    <t>ENZO ELLAS RODRIGUEZ SANCHEZ</t>
  </si>
  <si>
    <t>CARLOS SPANO 2417</t>
  </si>
  <si>
    <t>Enzo4173@gmail.com</t>
  </si>
  <si>
    <t>204121419</t>
  </si>
  <si>
    <t>ESCARLET ESTEFANIA SANDOVAL SALAZAR</t>
  </si>
  <si>
    <t>LO ARCAYA 2 D</t>
  </si>
  <si>
    <t>ckamicontreraas@gmail.com</t>
  </si>
  <si>
    <t>13565390-K</t>
  </si>
  <si>
    <t>FRANCISCO JAVIER ALCAMAN ÑANCO</t>
  </si>
  <si>
    <t>ISLA CHINGUA 235</t>
  </si>
  <si>
    <t>fjalcaman@gmail.com</t>
  </si>
  <si>
    <t>17490461-8</t>
  </si>
  <si>
    <t>FRANCISCO JOSÉ MENA VENEGAS</t>
  </si>
  <si>
    <t>FREELANCER</t>
  </si>
  <si>
    <t>ANDRÉS DE USTARIZ 4537</t>
  </si>
  <si>
    <t>fmenavenegas2018@gmail.com</t>
  </si>
  <si>
    <t>20198880-2</t>
  </si>
  <si>
    <t>GENESIS MARÍA BELÉN GÓMEZ CELPA</t>
  </si>
  <si>
    <t>ÁLVARO CASANOVA 1785</t>
  </si>
  <si>
    <t>j.genesis3.19@gmail.com</t>
  </si>
  <si>
    <t>15838608-9</t>
  </si>
  <si>
    <t>JAMES FRANCO RON MENDOZA</t>
  </si>
  <si>
    <t>ATENCIÓN AL CLIENTE</t>
  </si>
  <si>
    <t>PASAJE LA TROVA SUR 1859</t>
  </si>
  <si>
    <t>jamesron70@gmail.com</t>
  </si>
  <si>
    <t>18331894-2</t>
  </si>
  <si>
    <t>JAVIER ANDRES ALVARADO GUERRA</t>
  </si>
  <si>
    <t>DUQUE DE KENT 180</t>
  </si>
  <si>
    <t>Javier.alvarado@usach.cl</t>
  </si>
  <si>
    <t>20328574-4</t>
  </si>
  <si>
    <t>JENNIFER MARLENE SOTO LEIVA</t>
  </si>
  <si>
    <t>TÉCNICO EN PÁRVULO</t>
  </si>
  <si>
    <t>LUIS CRUZ MARTÍNEZ CALLE 10 DE JULIO</t>
  </si>
  <si>
    <t>Jennifermarlen0@gmail.com</t>
  </si>
  <si>
    <t>25773707-1</t>
  </si>
  <si>
    <t>JESSY STALIN VERA MERA</t>
  </si>
  <si>
    <t>PEDRO DONOSO 161</t>
  </si>
  <si>
    <t>veramerastalin@gmail.com</t>
  </si>
  <si>
    <t>ECUADOR</t>
  </si>
  <si>
    <t>16158964-0</t>
  </si>
  <si>
    <t>JORGE ALEJANDRO MANSILLA ARENAS</t>
  </si>
  <si>
    <t>AVENIDA PRESIDENTE SALVADOR ALLENDE 5697</t>
  </si>
  <si>
    <t>Alejandro.mansilla.arenas@gmail.com</t>
  </si>
  <si>
    <t>18079067-5</t>
  </si>
  <si>
    <t>JORGE BRYAN LAVADIE PADILLA</t>
  </si>
  <si>
    <t>NUEVE DE JULIO 5797 DPTO32</t>
  </si>
  <si>
    <t>jlavadiepadilla@gmail.com</t>
  </si>
  <si>
    <t>17707472-1</t>
  </si>
  <si>
    <t>JOSÉ FELIPE SANDOVAL RAIPAN</t>
  </si>
  <si>
    <t>ESTEBAN GUMUCIO VIVES 0296</t>
  </si>
  <si>
    <t>Josefelipesandovalraipan@gmail.com</t>
  </si>
  <si>
    <t>10501823-1</t>
  </si>
  <si>
    <t>JULIA CECILIA ZAMORANO HERNÁNDEZ</t>
  </si>
  <si>
    <t>ASESORA DE VENTAS</t>
  </si>
  <si>
    <t>AV. LA MONTAÑA SUR 4149</t>
  </si>
  <si>
    <t>cecilia.zamo@gmail.com</t>
  </si>
  <si>
    <t>26226999-K</t>
  </si>
  <si>
    <t>MAIROBY SÁNCHEZ</t>
  </si>
  <si>
    <t>PROFESORA Y CORREDORA DE PROPIEDADES</t>
  </si>
  <si>
    <t>CARMEN SILVA 2315</t>
  </si>
  <si>
    <t>Mairobysanchez3@gmail.com</t>
  </si>
  <si>
    <t>12368115-0</t>
  </si>
  <si>
    <t>MARGARITA ISABEL SÁNCHEZ PÉREZ</t>
  </si>
  <si>
    <t>GAMERO 1735 DEPTO. 307B, INDEPENDENCIA</t>
  </si>
  <si>
    <t>margaritasp1973@gmail.com</t>
  </si>
  <si>
    <t>19174719-4</t>
  </si>
  <si>
    <t>MIGUEL JESÚS VARAS BARRERA</t>
  </si>
  <si>
    <t>LORD COCHRANE 1621</t>
  </si>
  <si>
    <t>miguel.j.varas.b@gmail.com</t>
  </si>
  <si>
    <t>19547624-1</t>
  </si>
  <si>
    <t>MIREYA DEL CARMEN VASQUEZ PIÑEIDO</t>
  </si>
  <si>
    <t>PTO MONTT 0605 SAN LUIS NORTE</t>
  </si>
  <si>
    <t>Miiyivasquez92@gmail.com</t>
  </si>
  <si>
    <t>18546159-9</t>
  </si>
  <si>
    <t>LA PALMA CHILENA 2980</t>
  </si>
  <si>
    <t>Nicolasarm.1993@gmail.com</t>
  </si>
  <si>
    <t>8731818-4</t>
  </si>
  <si>
    <t>OSCAR OSVALDO BERRIOS VILLAGRA</t>
  </si>
  <si>
    <t>SUPERVISOR COMERCIAL</t>
  </si>
  <si>
    <t>LOS SUSPIROS 1885</t>
  </si>
  <si>
    <t>oberrios12@gmail.com</t>
  </si>
  <si>
    <t>10081946-5</t>
  </si>
  <si>
    <t>RICARDO MÁRQUEZ GUTIÉRREZ</t>
  </si>
  <si>
    <t>SEGURIDAD PRIVADA</t>
  </si>
  <si>
    <t>CAMINO EL ROBLE 1769</t>
  </si>
  <si>
    <t>rmarquez66@hotmail.com</t>
  </si>
  <si>
    <t>10471934-1</t>
  </si>
  <si>
    <t>XIMENA REQUENA ESTAY</t>
  </si>
  <si>
    <t>EJECUTIVA COMERCIAL Y MAESTRA.</t>
  </si>
  <si>
    <t>PEÑAFLOR 1021</t>
  </si>
  <si>
    <t>asesoriasrequena@gmail.com</t>
  </si>
  <si>
    <t>9992691-0</t>
  </si>
  <si>
    <t>GONZALO AGUILERA GONZALEZ</t>
  </si>
  <si>
    <t>NECESITO ANTUNEZ 1968</t>
  </si>
  <si>
    <t>Gaguileragon@gmail.com</t>
  </si>
  <si>
    <t>16453949-0</t>
  </si>
  <si>
    <t>LUIS ALBERTO OSORES OSORES</t>
  </si>
  <si>
    <t>RAMÓN VINAY 10634</t>
  </si>
  <si>
    <t xml:space="preserve">Losores83@gmail.com </t>
  </si>
  <si>
    <t>181431849</t>
  </si>
  <si>
    <t>JUAN PABLO MARIN RODRÍGUEZ</t>
  </si>
  <si>
    <t>PASAJE PADRE NILO ARRIAGADA 3142</t>
  </si>
  <si>
    <t>juanpablomarin1992@gmail.com</t>
  </si>
  <si>
    <t>16265618-K</t>
  </si>
  <si>
    <t>SILVANA JACQUELINE RODRIGUEZ VALLEJOS</t>
  </si>
  <si>
    <t>CHEF Y ASESOR DE VENTAS</t>
  </si>
  <si>
    <t>CAMINO AL VOLCÁN 22970</t>
  </si>
  <si>
    <t>SAN JOSÉ DE MAIPO</t>
  </si>
  <si>
    <t>Silrodriguezv4@gmail.com</t>
  </si>
  <si>
    <t>167130763</t>
  </si>
  <si>
    <t>CRISTÓBAL ELIAS MORAGA MUÑOZ</t>
  </si>
  <si>
    <t>LOS CÓNDORES 540</t>
  </si>
  <si>
    <t>abogado.cristobalmoraga@gmail.com</t>
  </si>
  <si>
    <t>10984092-0</t>
  </si>
  <si>
    <t>CARLOS PATRICIO FREITAS VEGA</t>
  </si>
  <si>
    <t>ABTAO 817</t>
  </si>
  <si>
    <t>patricio_f30@hotmail.com</t>
  </si>
  <si>
    <t>202276242</t>
  </si>
  <si>
    <t>YORDAN NICOLÁS SOLIS GOMEZ</t>
  </si>
  <si>
    <t>ARA 2533 DEPARTAMENTO F210</t>
  </si>
  <si>
    <t>Jordan.sgomez16@gmail.com</t>
  </si>
  <si>
    <t>15786964-7</t>
  </si>
  <si>
    <t>NELSON ANDRÉS BOZO SEPÚLVEDA</t>
  </si>
  <si>
    <t>PJE. DON LUIS MANUEL DE ZAÑARTU 405</t>
  </si>
  <si>
    <t>nabs2511@gmail.com</t>
  </si>
  <si>
    <t>BCO.  ESTADO</t>
  </si>
  <si>
    <t>15477248-0</t>
  </si>
  <si>
    <t>DANIELA ALVEZ ORTEGA</t>
  </si>
  <si>
    <t>TÉCNICO EN FARMACIA</t>
  </si>
  <si>
    <t>AV MÉXICO 2227</t>
  </si>
  <si>
    <t>Daniela. Alvezortega@gmaiil.com</t>
  </si>
  <si>
    <t>15887878-K</t>
  </si>
  <si>
    <t>FABIOLA ANDREA PEÑA CONTRERAS</t>
  </si>
  <si>
    <t>DIRECCIÓN Y PRODUCCIÓN DE EVENTOS</t>
  </si>
  <si>
    <t>AV EJÉRCITO LIBERTADOR 3066</t>
  </si>
  <si>
    <t xml:space="preserve">fabiolaeventos@gmail.com </t>
  </si>
  <si>
    <t>18422952-8</t>
  </si>
  <si>
    <t>MACARENA DEL CARMEN ROMERO RODRÍGUEZ</t>
  </si>
  <si>
    <t>THOMAS JEFFERSON 0999</t>
  </si>
  <si>
    <t>antonellavalenzuela775@gmail.com</t>
  </si>
  <si>
    <t>BANCOESTADO</t>
  </si>
  <si>
    <t>15377950-3</t>
  </si>
  <si>
    <t>DANIELA CECILIA GUERRA NÚÑEZ</t>
  </si>
  <si>
    <t>JOSÉ JOAQUÍN VALLEJOS 1401 DEP 46C</t>
  </si>
  <si>
    <t>daniela.guerra1982@gmail.com</t>
  </si>
  <si>
    <t>10237838-5</t>
  </si>
  <si>
    <t>SONIA TERESA BETANCOURT IBARRA</t>
  </si>
  <si>
    <t>PROMOTORA DE BELLEZA</t>
  </si>
  <si>
    <t>LAGO VILLARRICA 4460</t>
  </si>
  <si>
    <t>Sonia.betancourt2197@gmail.com</t>
  </si>
  <si>
    <t>26808189-5</t>
  </si>
  <si>
    <t>JESÚS ALFREDO CASTILLO COLMENAREZ</t>
  </si>
  <si>
    <t>ABTAO 24</t>
  </si>
  <si>
    <t xml:space="preserve">Jaccmppee@gmail.com </t>
  </si>
  <si>
    <t>6979798-9</t>
  </si>
  <si>
    <t>MARTA AUDOVINA MUÑOZ CANIUQUEO</t>
  </si>
  <si>
    <t>AGENTE DE VENTAS</t>
  </si>
  <si>
    <t>LOS COMETAS 7325</t>
  </si>
  <si>
    <t>Mamc2961@ gmail.com</t>
  </si>
  <si>
    <t>11830861-1</t>
  </si>
  <si>
    <t>CRISTINA ADRIANA CASTRO GALLARDO</t>
  </si>
  <si>
    <t>RÍO BAKER 6136</t>
  </si>
  <si>
    <t>Castrogallardocristina@gmail.com</t>
  </si>
  <si>
    <t>12830056-2</t>
  </si>
  <si>
    <t>ENRIQUE RODRIGO VALDEBENITO TORRES</t>
  </si>
  <si>
    <t>BARRANCON  6.400</t>
  </si>
  <si>
    <t>CALERA DE TANGO</t>
  </si>
  <si>
    <t>enrique.valdebenitotorres@gmail.com</t>
  </si>
  <si>
    <t>17488049-2</t>
  </si>
  <si>
    <t>NATALY ECHEVERRÍA</t>
  </si>
  <si>
    <t>EJECUTIVA DE VENTA</t>
  </si>
  <si>
    <t>PJE COLUMBO 1317</t>
  </si>
  <si>
    <t>natalyecheverriavaldes@gmail.com</t>
  </si>
  <si>
    <t>12871562-2</t>
  </si>
  <si>
    <t>CLAUDIA RAMIREZ GUTIERREZ</t>
  </si>
  <si>
    <t>LOS NOGALES 476</t>
  </si>
  <si>
    <t>claudiaramirezg1975@gmail.com</t>
  </si>
  <si>
    <t>22508936-1</t>
  </si>
  <si>
    <t>MARINA ROXANA CARMONA FLORIAN</t>
  </si>
  <si>
    <t>RECOLETA 2064</t>
  </si>
  <si>
    <t>Mari_car_24@hotmail.com</t>
  </si>
  <si>
    <t>17073362-2</t>
  </si>
  <si>
    <t>ALEXIS MOYA ARRIAGADA</t>
  </si>
  <si>
    <t>PROFESOR DE ED FÍSICA</t>
  </si>
  <si>
    <t>HUMORISTA CARLOS HELO 919 RECOLETA</t>
  </si>
  <si>
    <t>Alexis.profesor.full@gmail.com</t>
  </si>
  <si>
    <t>19348004-7</t>
  </si>
  <si>
    <t>CONSTANZA ALEJANDRA RIVERA ARAYA</t>
  </si>
  <si>
    <t>TÉCNICO EN ENFERMERIA</t>
  </si>
  <si>
    <t>AVENIDA EDMUNDO ELUCHANS 498</t>
  </si>
  <si>
    <t>ale.river183@gmail.com</t>
  </si>
  <si>
    <t>17857671-2</t>
  </si>
  <si>
    <t>NICOLE DE LOURDES VALENZUELA HUEICHA</t>
  </si>
  <si>
    <t>EGRESADO EN CIENCIAS JURÍDICAS</t>
  </si>
  <si>
    <t>CONDOMINIO ANTU MAPU 555</t>
  </si>
  <si>
    <t>VILLA ALEMANA</t>
  </si>
  <si>
    <t>Nicole.valenzuela.hu@gmail.com</t>
  </si>
  <si>
    <t>26661357-1</t>
  </si>
  <si>
    <t>FRANCYS ISMAR HERNANDEZ FERNANDEZ</t>
  </si>
  <si>
    <t>LOS ALMENDROS 2915</t>
  </si>
  <si>
    <t>QUILPUÉ</t>
  </si>
  <si>
    <t>Francysismarh@gmail.com</t>
  </si>
  <si>
    <t>10207590-0</t>
  </si>
  <si>
    <t>JACQUELINE DE LAS MERCEDES VÁSQUEZ CASTRO</t>
  </si>
  <si>
    <t>PASAJE EL CRISOL 014</t>
  </si>
  <si>
    <t>kelito15@hotmail.com</t>
  </si>
  <si>
    <t>16484785-8</t>
  </si>
  <si>
    <t>GABRIELA BELÉN TRINCADO MUÑOZ</t>
  </si>
  <si>
    <t>PADRE HURTADO 650 F33 NUEVA AURORA</t>
  </si>
  <si>
    <t>Gabriela_trincado@hotmail.com</t>
  </si>
  <si>
    <t>9162817-1</t>
  </si>
  <si>
    <t>CLARA ELENA AGURTO VARELA</t>
  </si>
  <si>
    <t>EJECUTIVA VENTA</t>
  </si>
  <si>
    <t>CALLE COLOMBIA 266 SAN ROQUE</t>
  </si>
  <si>
    <t>starclarita53@gmail.com</t>
  </si>
  <si>
    <t>20688559-9</t>
  </si>
  <si>
    <t>VALENTINA ALEXANDRA MUÑOZ OLGUÍN</t>
  </si>
  <si>
    <t>ESTUDIANTE 5TO AÑO PSICOLOGÍA</t>
  </si>
  <si>
    <t>DON JOSÉ 908</t>
  </si>
  <si>
    <t>valentina.a.munoz.o@gmail.com</t>
  </si>
  <si>
    <t>11741027-7</t>
  </si>
  <si>
    <t>RICHARD MANUEL PARDO MALDONADO</t>
  </si>
  <si>
    <t>EJECUTIVO VENTAS</t>
  </si>
  <si>
    <t>MACHUPICHU 974</t>
  </si>
  <si>
    <t>r.pardom123@gmail.com</t>
  </si>
  <si>
    <t>19871377-5</t>
  </si>
  <si>
    <t>JOSÉ LUIS MADRID JORQUERA</t>
  </si>
  <si>
    <t>MERCED PONIENTE SIN NÚMERO</t>
  </si>
  <si>
    <t>pepomadrid66@gmail.com</t>
  </si>
  <si>
    <t>27334730-5</t>
  </si>
  <si>
    <t>ESTEBAN JOSE GONZALEZ GUERRA</t>
  </si>
  <si>
    <t>LEUCOTON 1101</t>
  </si>
  <si>
    <t>Pulgarfrancisco58@gmail.com</t>
  </si>
  <si>
    <t>20945575-7</t>
  </si>
  <si>
    <t>BAYRON CAMILO MUÑOZ FARIÑA</t>
  </si>
  <si>
    <t>TÉCNICO, EN CONTABILIDAD</t>
  </si>
  <si>
    <t>LOS ATACAMEÑOS 3419</t>
  </si>
  <si>
    <t>bayroncamilom@gmail.com</t>
  </si>
  <si>
    <t>19721334-5</t>
  </si>
  <si>
    <t>FRANCISCA ANDREA DELGADO LOYOLA</t>
  </si>
  <si>
    <t>TECNICO AGROPECUARIO, INDEPENDIENTE</t>
  </si>
  <si>
    <t>CAMPUSANO 3866</t>
  </si>
  <si>
    <t xml:space="preserve">francisca123delgado@gmail.com </t>
  </si>
  <si>
    <t>17740447-0</t>
  </si>
  <si>
    <t>JAVIERA CONSTANZA GAZITUA ROCA</t>
  </si>
  <si>
    <t>FONOAUDIÓLOGA</t>
  </si>
  <si>
    <t>AV LAGUNA 1630, CASA 61</t>
  </si>
  <si>
    <t>j.gazituaroca@gmail.com</t>
  </si>
  <si>
    <t>9479309-2</t>
  </si>
  <si>
    <t>YOLANDA VIRGINIA FUENTES FIGUEROA</t>
  </si>
  <si>
    <t>ENSEÑANZA MEDIA COMPLETA</t>
  </si>
  <si>
    <t>DIAGONAL JOSÉ MARIA CARO 3005 TORRE F 503</t>
  </si>
  <si>
    <t>yfuentesvalenzuela@gmail.com</t>
  </si>
  <si>
    <t>26799818-3</t>
  </si>
  <si>
    <t>MALVA THAIS CALDERA MARTÍNEZ</t>
  </si>
  <si>
    <t>ABOGADA</t>
  </si>
  <si>
    <t>CALLE CHILOÉ 1221 DPTO.309</t>
  </si>
  <si>
    <t>malvarosa300@gmail.com</t>
  </si>
  <si>
    <t>26318088-7</t>
  </si>
  <si>
    <t>LÍBER FERNANDO ROJAS FERRER</t>
  </si>
  <si>
    <t>CONDUCTOR</t>
  </si>
  <si>
    <t>PUERTO INGENIERO IBÁÑEZ 7698</t>
  </si>
  <si>
    <t>mariafernandarojasperez86@gmail.com</t>
  </si>
  <si>
    <t>16346853-0</t>
  </si>
  <si>
    <t>NATALIA MARTINEZ BUSTOS</t>
  </si>
  <si>
    <t>OBISPO JAVIER VASQUEZ VALENCIA 0150</t>
  </si>
  <si>
    <t>natymb.86@gmail.com</t>
  </si>
  <si>
    <t>PATRICIO FREITAS</t>
  </si>
  <si>
    <t>14740258-9</t>
  </si>
  <si>
    <t>CRISTIAN LENIN ENRIQUEZ JARA</t>
  </si>
  <si>
    <t>UMBRAL 2184</t>
  </si>
  <si>
    <t>nalocriz@gmail.com</t>
  </si>
  <si>
    <t>20331669-0</t>
  </si>
  <si>
    <t>PAUL ANDRES ASTUDILLO ARRUE</t>
  </si>
  <si>
    <t>INGENIERÍA EN ADMINISTRACIÓN DE EMPRESAS</t>
  </si>
  <si>
    <t>MATURANA 1203</t>
  </si>
  <si>
    <t>Jackflap.astudillo@gmail.com</t>
  </si>
  <si>
    <t>22214632-1</t>
  </si>
  <si>
    <t>GUSTAVO ANDRES SUAZO ROJAS</t>
  </si>
  <si>
    <t>ESTUDIANTE DE INGENIERIA COMERCIAL</t>
  </si>
  <si>
    <t>LOS JARDINEROS 6197</t>
  </si>
  <si>
    <t>1suazo.gustavo1@gmail.com</t>
  </si>
  <si>
    <t>18907603-7</t>
  </si>
  <si>
    <t>ABIGAIL JIMENEZ ROZAS</t>
  </si>
  <si>
    <t>ZEUS 9342</t>
  </si>
  <si>
    <t>Abigailjimenez01@gmail.com</t>
  </si>
  <si>
    <t>20048992-6</t>
  </si>
  <si>
    <t>DEBBIE PARSONS MORENO</t>
  </si>
  <si>
    <t>PASAJE LOS BOSQUES 69</t>
  </si>
  <si>
    <t>Debbieparsonsm2015@gmail.com</t>
  </si>
  <si>
    <t>SCOCHABANK</t>
  </si>
  <si>
    <t>17576635-9</t>
  </si>
  <si>
    <t>FRANCO ULISES QUIJADA ASTORGA</t>
  </si>
  <si>
    <t>CALLE 461 #5315</t>
  </si>
  <si>
    <t>moobas1709@gmail.com</t>
  </si>
  <si>
    <t>19920843-8</t>
  </si>
  <si>
    <t>JOSHUA LUIS JESÚS GONZÁLEZ DIAZ</t>
  </si>
  <si>
    <t>INGENIERÍA EN MECÁNICA AUTOMOTRIZ Y AUTOTRÓNICA</t>
  </si>
  <si>
    <t>EL CONCRETERO 1745</t>
  </si>
  <si>
    <t xml:space="preserve">Jg314592@gmail.co </t>
  </si>
  <si>
    <t>18192780-1</t>
  </si>
  <si>
    <t>SEBASTIÁN IGNACIO AMADO GONZALEZ</t>
  </si>
  <si>
    <t>AV GABRIELA ORIENTE 02661</t>
  </si>
  <si>
    <t>Amadosebastian5@gmail.com</t>
  </si>
  <si>
    <t>15701462-5</t>
  </si>
  <si>
    <t>MARITZA ELIZABETH VASQUEZ PAILAMILLA</t>
  </si>
  <si>
    <t>ALAMEDA DE PRINCIPAL 18A1</t>
  </si>
  <si>
    <t xml:space="preserve">Lamarimari2023@gmail.com </t>
  </si>
  <si>
    <t>21797287-6</t>
  </si>
  <si>
    <t>CONSTANZA BELÉN LOBOS PEDREROS</t>
  </si>
  <si>
    <t>ESTUDIANTE UNIVERSITARIO DE QUÍMICA Y FARMACIA</t>
  </si>
  <si>
    <t>PSJE DON MIGUEL DE SILVA 1564</t>
  </si>
  <si>
    <t>Xiel18clp@gmail.com</t>
  </si>
  <si>
    <t>19912697-0</t>
  </si>
  <si>
    <t>VALERY FRANCHESCA GONZÁLEZ MORALES</t>
  </si>
  <si>
    <t>Valery.gon.morales@gmail.com</t>
  </si>
  <si>
    <t>ANDREINA DEL VALLE MENDEZ ZAMBRANO</t>
  </si>
  <si>
    <t>17052484-5</t>
  </si>
  <si>
    <t>PATRICIO ESTEBAN GALVEZ MENESES</t>
  </si>
  <si>
    <t>MANUELA ERRAZURIZ 6219</t>
  </si>
  <si>
    <t>Galvez.p1989@gmail.com</t>
  </si>
  <si>
    <t>AVENIDA LIBERTADOR BERNARDO O'HIGGINS 268, DEP 106</t>
  </si>
  <si>
    <t>11563625-1</t>
  </si>
  <si>
    <t>OLAYA DE LAS ROSAS FUENTES CARRASCO</t>
  </si>
  <si>
    <t>HERNAN DOSZ ARRIETA 4129 MAIPÚ SANTIAGO</t>
  </si>
  <si>
    <t xml:space="preserve">olayafuentesc@gmail.com </t>
  </si>
  <si>
    <t>11649335-7</t>
  </si>
  <si>
    <t>SANDRA XIMENA CONTRERAS DIAZ</t>
  </si>
  <si>
    <t>JASON 1540 VILLA GRECIA - MAIPÚ</t>
  </si>
  <si>
    <t xml:space="preserve">mariposa.hercules1971@gmail.com </t>
  </si>
  <si>
    <t>10134824-5</t>
  </si>
  <si>
    <t>WALDO MICHEL SEPÚLVEDA TRONCOSO</t>
  </si>
  <si>
    <t>EJECUTIVO</t>
  </si>
  <si>
    <t>16422308-6</t>
  </si>
  <si>
    <t>LUCY DEL PILAR YAÑEZ PIZARRO</t>
  </si>
  <si>
    <t>18354796-8</t>
  </si>
  <si>
    <t>FELIPE NICOLAS MUÑOZ BARAHONA</t>
  </si>
  <si>
    <t>INGENIERO MECÁNICO AUTOMOTRIZ</t>
  </si>
  <si>
    <t>20944439-9</t>
  </si>
  <si>
    <t>MARCELA ANTONIA VALDÉS BARRIOS</t>
  </si>
  <si>
    <t>FONOAUDIOLOGA</t>
  </si>
  <si>
    <t>16021016-8</t>
  </si>
  <si>
    <t>JUAN CARLOS JARAMILLO</t>
  </si>
  <si>
    <t>7493880-9</t>
  </si>
  <si>
    <t>WILFREDO YERKO CUEVAS CHAPARRO</t>
  </si>
  <si>
    <t>17231805-3</t>
  </si>
  <si>
    <t>VICTORINO ALEJANDRO RIVEROS RUIZ</t>
  </si>
  <si>
    <t>ADMINISTRATIVO - ESTUDIANTE</t>
  </si>
  <si>
    <t>16925654-3</t>
  </si>
  <si>
    <t>GIOVANNA IVONE FUENTES BETANCURT</t>
  </si>
  <si>
    <t>TECNICO EN ENFERMERIA NIVEL SUPERIOR</t>
  </si>
  <si>
    <t>15971998-7</t>
  </si>
  <si>
    <t>DANIEL ALEJANDRO VALENZUELA LILLO</t>
  </si>
  <si>
    <t>184301512</t>
  </si>
  <si>
    <t>DAVID ANTONIO ARANCIBIA CASTRO</t>
  </si>
  <si>
    <t>PUDETO 6579</t>
  </si>
  <si>
    <t>daranci4@gmail.com</t>
  </si>
  <si>
    <t>21882909-0</t>
  </si>
  <si>
    <t>AMARO ZION RUIZ VASQUEZ</t>
  </si>
  <si>
    <t>ALAMEDA DEL PRINCIPAL PARCELA 18 LOTE A1</t>
  </si>
  <si>
    <t>azrv.888@gmail.com</t>
  </si>
  <si>
    <t>ENRIQUE VALDEBENITO</t>
  </si>
  <si>
    <t>16679938-4</t>
  </si>
  <si>
    <t>DANIEL ANDRÉS ARISMENDI ARENAS</t>
  </si>
  <si>
    <t>SAN JOSÉ DE LA ESTRELLA 0835</t>
  </si>
  <si>
    <t>daniel.arismendi.arenas@gmail.com</t>
  </si>
  <si>
    <t>9617670-8</t>
  </si>
  <si>
    <t>MARÍA ELENA URRUTIA GÁLVEZ</t>
  </si>
  <si>
    <t>AV. RODTIGO DE ARAYA 4651</t>
  </si>
  <si>
    <t>mariaelenaurrutiagalvez@gmail.com</t>
  </si>
  <si>
    <t>18622739-5</t>
  </si>
  <si>
    <t>MAXIMILIANO ALBERTO BAEZA MUÑOZ</t>
  </si>
  <si>
    <t>AV ALFREDO SILVA CARBALLO 2175</t>
  </si>
  <si>
    <t>Maxii.baeza@gmail.com</t>
  </si>
  <si>
    <t>27101537-2</t>
  </si>
  <si>
    <t>ANYELI CAROLINA HERNÁNDEZ ESPINOZA</t>
  </si>
  <si>
    <t>PEDRO ALARCON 156 PINTOR GOYA</t>
  </si>
  <si>
    <t xml:space="preserve">anyelih7e2@gmail.com </t>
  </si>
  <si>
    <t>TEMPO</t>
  </si>
  <si>
    <t>13490410-0</t>
  </si>
  <si>
    <t>PAOLA NICOLE TORRES ARIAS</t>
  </si>
  <si>
    <t>BACHILLER</t>
  </si>
  <si>
    <t>PASAJE BOCATOMA 12.124</t>
  </si>
  <si>
    <t>torres78paola@gmail.com</t>
  </si>
  <si>
    <t>20183421-K</t>
  </si>
  <si>
    <t>FERNANDA SCARLET CUEVAS OLIVARES</t>
  </si>
  <si>
    <t>LOS DIAMANTES 542</t>
  </si>
  <si>
    <t xml:space="preserve">Fernand.scarlet17@gmail.com </t>
  </si>
  <si>
    <t>18189757-0</t>
  </si>
  <si>
    <t>DANIELA ANDREA RIVERA HURTADO</t>
  </si>
  <si>
    <t>3 DE SEPTIEMBRE 0108</t>
  </si>
  <si>
    <t>riverahtdo@gmail.com</t>
  </si>
  <si>
    <t>19438826-8</t>
  </si>
  <si>
    <t>IGNACIO ANTONIO ASTUDILLO CORREA</t>
  </si>
  <si>
    <t>JOSÉ ANANIAS 200</t>
  </si>
  <si>
    <t>ignacioastudillo.contacto@gmail.com</t>
  </si>
  <si>
    <t>19220527-1</t>
  </si>
  <si>
    <t>MANUEL ORLANDO PULGAR SALAS</t>
  </si>
  <si>
    <t>PASAJE SAN ALEJANDRO 054</t>
  </si>
  <si>
    <t>pulgar17manuel@gmail.com</t>
  </si>
  <si>
    <t>28079891-6</t>
  </si>
  <si>
    <t>MICAELA TAIS VARGAS CASTILLO</t>
  </si>
  <si>
    <t>AVENIDA  SANTA ROSA 326</t>
  </si>
  <si>
    <t>Vargascastillomicaela@gmail.com</t>
  </si>
  <si>
    <t>18517357-7</t>
  </si>
  <si>
    <t>MAYRA ROBLES JAQUE</t>
  </si>
  <si>
    <t>AV BRASIL 875</t>
  </si>
  <si>
    <t>mroblesjaque@gmail.com</t>
  </si>
  <si>
    <t>16648296-8</t>
  </si>
  <si>
    <t>VALESKA VANESSA CERDA SANDOVAL</t>
  </si>
  <si>
    <t>RECURSOS HUMANOS</t>
  </si>
  <si>
    <t>ANTUPIREN 10001 DEPTO C 403</t>
  </si>
  <si>
    <t>valecerda31@gmail.com</t>
  </si>
  <si>
    <t>19384871-0</t>
  </si>
  <si>
    <t>FERNANDA CIFUENTES</t>
  </si>
  <si>
    <t>MAPOCHO 2665 E 51</t>
  </si>
  <si>
    <t>Agosto16.fc@gmail.com</t>
  </si>
  <si>
    <t>25855121-4</t>
  </si>
  <si>
    <t>WALTER FABRICIO SALAZAR LIMA</t>
  </si>
  <si>
    <t>ASESORÍAS COMERCIAL</t>
  </si>
  <si>
    <t>CALLE MINNESOTA 8099</t>
  </si>
  <si>
    <t>Waltersala123@gmail.com</t>
  </si>
  <si>
    <t>16812634-4</t>
  </si>
  <si>
    <t>MANUEL ALEJANDRO PARADA CISTERNAS</t>
  </si>
  <si>
    <t>CALLE CONDELL 2963</t>
  </si>
  <si>
    <t>QUINTERO</t>
  </si>
  <si>
    <t>manuelparadac69@hotmail.com</t>
  </si>
  <si>
    <t>15082746-9</t>
  </si>
  <si>
    <t>JENIFER MABEL MALDONADO SANHUEZA</t>
  </si>
  <si>
    <t>CALLE RIO BLANCO 111 FORESTAL</t>
  </si>
  <si>
    <t>Jlfmabe@gmail.com</t>
  </si>
  <si>
    <t>11546188-5</t>
  </si>
  <si>
    <t>IMPERIO ALEJANDRA PINO DÍAZ</t>
  </si>
  <si>
    <t>BELLAVISTA 1250</t>
  </si>
  <si>
    <t>imperio.pino.d@gmail.com</t>
  </si>
  <si>
    <t>15080147-8</t>
  </si>
  <si>
    <t>YARELA PATRICIA CLARK MACUER</t>
  </si>
  <si>
    <t>PASAJE VEINTICUATRO #430 PRIMER SECTOR PLAYA ANCHA</t>
  </si>
  <si>
    <t>yarelaclark2024@gmail.com</t>
  </si>
  <si>
    <t>9585820-1</t>
  </si>
  <si>
    <t>JUAN LADISLAO SAAVEDRA ROMERO</t>
  </si>
  <si>
    <t>TÉCNICO EN ADM. DE EMPRESAS</t>
  </si>
  <si>
    <t>CRUZ DEL SUR 303 DEPTO 206</t>
  </si>
  <si>
    <t>condordeldesierto@gmail.com</t>
  </si>
  <si>
    <t>12828094-4</t>
  </si>
  <si>
    <t>ROSA ANDREA CONTRERAS CAMPOS</t>
  </si>
  <si>
    <t>DISEÑADORA DE MODA</t>
  </si>
  <si>
    <t>LOS BIRMANOS 1185</t>
  </si>
  <si>
    <t>neacontreras@gmail.com</t>
  </si>
  <si>
    <t>26798908-7</t>
  </si>
  <si>
    <t>YOISBEL DEL VALLE FERNANDEZ RODRIGUEZ</t>
  </si>
  <si>
    <t>PROMOTORA</t>
  </si>
  <si>
    <t>DESFILADERO 6360</t>
  </si>
  <si>
    <t>Yoisfer28@gmail.com</t>
  </si>
  <si>
    <t>BANCO DE LOS ANDES TAPP</t>
  </si>
  <si>
    <t>16006609-1</t>
  </si>
  <si>
    <t>FELIPE ANDRES POZO RODRIGUEZ</t>
  </si>
  <si>
    <t>MACUL 2701</t>
  </si>
  <si>
    <t>F.pozor16@gmail.com</t>
  </si>
  <si>
    <t>18243548-1</t>
  </si>
  <si>
    <t>DIEGO RAÚL SILVA FARIAS</t>
  </si>
  <si>
    <t>ARRIERO ESTAY 3877 DEP 2610</t>
  </si>
  <si>
    <t>raulsilvafarias.12@gmail.com</t>
  </si>
  <si>
    <t>17091997-1</t>
  </si>
  <si>
    <t>MANUEL ALEXANDER MUNOZ RIQUELME</t>
  </si>
  <si>
    <t>OIDOR SANCHO 8271</t>
  </si>
  <si>
    <t>Manuelalexandermunozriquelme@gmail.com</t>
  </si>
  <si>
    <t>RAÚL BUSTOS</t>
  </si>
  <si>
    <t>26282940-5</t>
  </si>
  <si>
    <t>KEIBER YOVANNY FIGUEROA PEÑA</t>
  </si>
  <si>
    <t>SAN DIEGO 255</t>
  </si>
  <si>
    <t>Keiber7857@gmail.com</t>
  </si>
  <si>
    <t>191824628</t>
  </si>
  <si>
    <t>KARINA FERNANDA REYES BAROS</t>
  </si>
  <si>
    <t>CAM. LOS ARRIEROS NORTE</t>
  </si>
  <si>
    <t>karina.reyes@live.cl</t>
  </si>
  <si>
    <t>154088725</t>
  </si>
  <si>
    <t>RAÚL ALEJANDRO BUSTOS AGUILERA</t>
  </si>
  <si>
    <t>MANUEL RODRÍGUEZ 867 DPTO 2309</t>
  </si>
  <si>
    <t>Raul.bustos.aguilera@gmail.com</t>
  </si>
  <si>
    <t>10882950-8</t>
  </si>
  <si>
    <t>PAULA GARCÍA STEEMBECKER</t>
  </si>
  <si>
    <t>ELEUTERIO RAMIREZ 1199</t>
  </si>
  <si>
    <t>QUILPUE</t>
  </si>
  <si>
    <t>paula.steembecker@gmail.com</t>
  </si>
  <si>
    <t>PATRICIA MARTÍNEZ</t>
  </si>
  <si>
    <t>147504322</t>
  </si>
  <si>
    <t>AMANDA VIVIANA VALDEZ CARA</t>
  </si>
  <si>
    <t>SARA DEL CAMPO 535</t>
  </si>
  <si>
    <t xml:space="preserve">amandav.valdez@outlook.com </t>
  </si>
  <si>
    <t>257213455</t>
  </si>
  <si>
    <t>GLENDA PATRICIA MARTÍNEZ ORTIZ</t>
  </si>
  <si>
    <t>LOS JASMINES 5350</t>
  </si>
  <si>
    <t>glendapatriciamo@gmail.com</t>
  </si>
  <si>
    <t>ECUATORIANA</t>
  </si>
  <si>
    <t>26652121-9</t>
  </si>
  <si>
    <t>SUGEY MAYELIN VIVAS MARQUEZ</t>
  </si>
  <si>
    <t>LAGO LAS TORRES 207, DPTO 409</t>
  </si>
  <si>
    <t>QUILPUÉ, REGIÓN DE VALPARAÍSO</t>
  </si>
  <si>
    <t>MAYELINVIVAS8@GMAIL.COM</t>
  </si>
  <si>
    <t>DE CHILE</t>
  </si>
  <si>
    <t>134387629</t>
  </si>
  <si>
    <t>VIVIANA ANDREA MUÑOZ AHUMADA</t>
  </si>
  <si>
    <t>LA CORUÑA 0513  PARQUE CENTRAL</t>
  </si>
  <si>
    <t>Viviahumada1978@gmail.com</t>
  </si>
  <si>
    <t>28731281-4</t>
  </si>
  <si>
    <t>ADRIANA ISABEL HERNÁNDEZ SÁNCHEZ</t>
  </si>
  <si>
    <t>LAS ACACIAS 7604 DEPTO 1419</t>
  </si>
  <si>
    <t>adishesa12@gmail.com</t>
  </si>
  <si>
    <t>GUATEMALTECA</t>
  </si>
  <si>
    <t>13696856-4</t>
  </si>
  <si>
    <t>CATHERINE DEL CARMEN PINCHEIRA CARTAJENA</t>
  </si>
  <si>
    <t>CALLE LA BALANZA 1477</t>
  </si>
  <si>
    <t>catpin60@gmail.com</t>
  </si>
  <si>
    <t>BCI/MACH</t>
  </si>
  <si>
    <t>6875810-6</t>
  </si>
  <si>
    <t>MARÍA ISABEL GUTIÉRREZ</t>
  </si>
  <si>
    <t>AVDA . QUILIN 4985 DEPTO G 43</t>
  </si>
  <si>
    <t>maisabelgutfloral@gmail.com</t>
  </si>
  <si>
    <t>SECURITY</t>
  </si>
  <si>
    <t>19238090-1</t>
  </si>
  <si>
    <t>PATRICIO ANDRÉS JAQUE SOTO</t>
  </si>
  <si>
    <t>BORODIN 1491</t>
  </si>
  <si>
    <t>pjaque20@gmail.con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</si>
</sst>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1" fontId="0" fillId="0" borderId="0" xfId="1" applyFont="1"/>
    <xf numFmtId="0" fontId="0" fillId="0" borderId="0" xfId="1" applyNumberFormat="1" applyFont="1"/>
    <xf numFmtId="41" fontId="0" fillId="0" borderId="0" xfId="1" applyNumberFormat="1" applyFont="1"/>
  </cellXfs>
  <cellStyles count="2">
    <cellStyle name="Millares [0]" xfId="1" builtinId="6"/>
    <cellStyle name="Normal" xfId="0" builtinId="0"/>
  </cellStyles>
  <dxfs count="3">
    <dxf>
      <numFmt numFmtId="33" formatCode="_ * #,##0_ ;_ * \-#,##0_ ;_ * &quot;-&quot;_ ;_ @_ 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C52B5-7B32-4252-934D-A94D842DA451}" name="Tabla2" displayName="Tabla2" ref="A1:W586" totalsRowShown="0">
  <autoFilter ref="A1:W586" xr:uid="{813C52B5-7B32-4252-934D-A94D842DA451}"/>
  <sortState xmlns:xlrd2="http://schemas.microsoft.com/office/spreadsheetml/2017/richdata2" ref="A2:W586">
    <sortCondition descending="1" ref="V1:V586"/>
  </sortState>
  <tableColumns count="23">
    <tableColumn id="1" xr3:uid="{4DC93D09-0F8C-4599-847D-03196127F7E9}" name="DISTRITO"/>
    <tableColumn id="2" xr3:uid="{4CEF1804-7D93-4C9E-8E5E-EC5E2A644593}" name="NOMBRE LÍDER"/>
    <tableColumn id="4" xr3:uid="{E05571EA-CD41-4F45-98CC-61893E1369D0}" name="CARGO"/>
    <tableColumn id="5" xr3:uid="{A3C5124C-50A9-402A-AF38-FFA3A6E7DCDA}" name="FECHA DE INGRESO" dataDxfId="2"/>
    <tableColumn id="6" xr3:uid="{860F9EE9-D414-45C5-8065-6E803612B375}" name="RUN"/>
    <tableColumn id="7" xr3:uid="{A5C28C58-89C6-4848-ABD3-EE6254A07592}" name="NOMBRE COMPLETO"/>
    <tableColumn id="8" xr3:uid="{3623D4A5-D66C-4B43-B234-B353B9E4D6D5}" name="GÉNERO"/>
    <tableColumn id="9" xr3:uid="{513C55D3-0AD2-4FCA-8D69-96FE5BC6307E}" name="PROFESIÓN U OCUPACIÓN"/>
    <tableColumn id="10" xr3:uid="{51B7FEA9-C526-4FC3-9FDE-CCCD7D8F1BE3}" name="DIRECCIÓN"/>
    <tableColumn id="11" xr3:uid="{234EFA33-DB2E-4BFC-A217-A39BFC40F85F}" name="COMUNA"/>
    <tableColumn id="12" xr3:uid="{A00F746D-881A-4463-BDD8-CAF54DE14F96}" name="CORREO ELECTRÓNICO"/>
    <tableColumn id="13" xr3:uid="{F21C883D-9C11-4546-BE3F-5EB0B83221A7}" name="TELÉFONO"/>
    <tableColumn id="14" xr3:uid="{F38E651A-7382-4A13-84BB-BB7E3315B18E}" name="ESTADO CIVIL"/>
    <tableColumn id="15" xr3:uid="{8DEC02CD-A923-4D56-87CB-EC7CC215691E}" name="NACIONALIDAD"/>
    <tableColumn id="16" xr3:uid="{961BAE18-E3EE-49A8-B7B1-905140A47708}" name="TIPO DE CUENTA"/>
    <tableColumn id="17" xr3:uid="{91C87A07-4B23-4589-B67A-8CDF25527FD0}" name="BANCO"/>
    <tableColumn id="18" xr3:uid="{8F7E1D8E-BCF7-453E-B9AD-ECE257777444}" name="NÚMERO DE CUENTA"/>
    <tableColumn id="20" xr3:uid="{C2E66953-0D6D-4F14-9CB2-989C4E569DF3}" name="ESTADO"/>
    <tableColumn id="24" xr3:uid="{21D30B4F-B244-41C6-B92E-D588BEF8739B}" name="ORIGEN"/>
    <tableColumn id="25" xr3:uid="{9FAC7943-BCC6-47F5-9C36-4F7A8D359C0B}" name="ORIGEN 2"/>
    <tableColumn id="26" xr3:uid="{99E86862-ED88-442C-A5FC-0C92A563B564}" name="FECHA DE BAJA"/>
    <tableColumn id="28" xr3:uid="{145F3E8E-82B4-44C6-8822-AECFCA9241E6}" name="FECHA DE NACIMIENTO" dataDxfId="1"/>
    <tableColumn id="29" xr3:uid="{EAA83D84-6588-4A56-9687-FA0C0F511F11}" name="EDAD" dataDxfId="0" dataCellStyle="Millares [0]">
      <calculatedColumnFormula>+(TODAY()-Tabla2[[#This Row],[FECHA DE NACIMIENTO]])/360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F4CE-97B0-4497-97A0-0ABF54D70908}">
  <dimension ref="A1:W586"/>
  <sheetViews>
    <sheetView tabSelected="1" topLeftCell="P1" workbookViewId="0">
      <selection activeCell="Y13" sqref="Y13"/>
    </sheetView>
  </sheetViews>
  <sheetFormatPr baseColWidth="10" defaultRowHeight="14.25" x14ac:dyDescent="0.45"/>
  <cols>
    <col min="1" max="1" width="19.3984375" bestFit="1" customWidth="1"/>
    <col min="2" max="2" width="19.59765625" bestFit="1" customWidth="1"/>
    <col min="3" max="3" width="23.53125" bestFit="1" customWidth="1"/>
    <col min="4" max="4" width="18.53125" bestFit="1" customWidth="1"/>
    <col min="5" max="5" width="15.9296875" bestFit="1" customWidth="1"/>
    <col min="6" max="6" width="41.796875" bestFit="1" customWidth="1"/>
    <col min="7" max="7" width="10.73046875" bestFit="1" customWidth="1"/>
    <col min="8" max="8" width="77.33203125" bestFit="1" customWidth="1"/>
    <col min="9" max="9" width="50.265625" bestFit="1" customWidth="1"/>
    <col min="10" max="10" width="28.1328125" bestFit="1" customWidth="1"/>
    <col min="11" max="11" width="41.53125" bestFit="1" customWidth="1"/>
    <col min="12" max="12" width="11.73046875" bestFit="1" customWidth="1"/>
    <col min="13" max="13" width="13.9296875" bestFit="1" customWidth="1"/>
    <col min="14" max="14" width="20.9296875" bestFit="1" customWidth="1"/>
    <col min="15" max="15" width="27.06640625" bestFit="1" customWidth="1"/>
    <col min="16" max="16" width="23" bestFit="1" customWidth="1"/>
    <col min="17" max="17" width="20.19921875" bestFit="1" customWidth="1"/>
    <col min="18" max="18" width="10.73046875" bestFit="1" customWidth="1"/>
    <col min="19" max="19" width="16.73046875" bestFit="1" customWidth="1"/>
    <col min="20" max="20" width="13.1328125" bestFit="1" customWidth="1"/>
    <col min="21" max="21" width="15.33203125" bestFit="1" customWidth="1"/>
    <col min="22" max="22" width="21.9296875" bestFit="1" customWidth="1"/>
    <col min="23" max="23" width="10.73046875" style="4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4" t="s">
        <v>22</v>
      </c>
    </row>
    <row r="2" spans="1:23" x14ac:dyDescent="0.45">
      <c r="A2" t="s">
        <v>23</v>
      </c>
      <c r="B2" t="s">
        <v>388</v>
      </c>
      <c r="C2" t="s">
        <v>89</v>
      </c>
      <c r="D2" s="1">
        <v>46090</v>
      </c>
      <c r="E2" t="s">
        <v>2646</v>
      </c>
      <c r="F2" t="s">
        <v>2647</v>
      </c>
      <c r="I2" t="s">
        <v>2648</v>
      </c>
      <c r="J2" t="s">
        <v>165</v>
      </c>
      <c r="K2" t="s">
        <v>2649</v>
      </c>
      <c r="L2">
        <v>56959281870</v>
      </c>
      <c r="M2" t="s">
        <v>33</v>
      </c>
      <c r="N2" t="s">
        <v>34</v>
      </c>
      <c r="O2" t="s">
        <v>58</v>
      </c>
      <c r="P2" t="s">
        <v>66</v>
      </c>
      <c r="Q2">
        <v>18243548</v>
      </c>
      <c r="R2" t="s">
        <v>60</v>
      </c>
      <c r="V2" s="1">
        <v>46090</v>
      </c>
      <c r="W2" s="3">
        <f ca="1">+(TODAY()-Tabla2[[#This Row],[FECHA DE NACIMIENTO]])/360</f>
        <v>3.0555555555555555E-2</v>
      </c>
    </row>
    <row r="3" spans="1:23" x14ac:dyDescent="0.45">
      <c r="A3" t="s">
        <v>23</v>
      </c>
      <c r="B3" t="s">
        <v>2672</v>
      </c>
      <c r="C3" t="s">
        <v>89</v>
      </c>
      <c r="D3" s="1">
        <v>46090</v>
      </c>
      <c r="E3" t="s">
        <v>2673</v>
      </c>
      <c r="F3" t="s">
        <v>2674</v>
      </c>
      <c r="I3" t="s">
        <v>2675</v>
      </c>
      <c r="J3" t="s">
        <v>165</v>
      </c>
      <c r="K3" t="s">
        <v>2676</v>
      </c>
      <c r="L3">
        <v>966794247</v>
      </c>
      <c r="M3" t="s">
        <v>33</v>
      </c>
      <c r="N3" t="s">
        <v>536</v>
      </c>
      <c r="O3" t="s">
        <v>58</v>
      </c>
      <c r="P3" t="s">
        <v>17</v>
      </c>
      <c r="Q3">
        <v>14750432</v>
      </c>
      <c r="R3" t="s">
        <v>60</v>
      </c>
      <c r="V3" s="1">
        <v>46090</v>
      </c>
      <c r="W3" s="5">
        <f ca="1">+(TODAY()-Tabla2[[#This Row],[FECHA DE NACIMIENTO]])/360</f>
        <v>3.0555555555555555E-2</v>
      </c>
    </row>
    <row r="4" spans="1:23" x14ac:dyDescent="0.45">
      <c r="A4" t="s">
        <v>23</v>
      </c>
      <c r="B4" t="s">
        <v>659</v>
      </c>
      <c r="C4" t="s">
        <v>89</v>
      </c>
      <c r="D4" s="1">
        <v>46069</v>
      </c>
      <c r="E4" t="s">
        <v>2587</v>
      </c>
      <c r="F4" t="s">
        <v>2588</v>
      </c>
      <c r="G4" t="s">
        <v>42</v>
      </c>
      <c r="H4" t="s">
        <v>1270</v>
      </c>
      <c r="I4" t="s">
        <v>2589</v>
      </c>
      <c r="J4" t="s">
        <v>165</v>
      </c>
      <c r="K4" t="s">
        <v>2590</v>
      </c>
      <c r="L4">
        <v>938783187</v>
      </c>
      <c r="M4" t="s">
        <v>658</v>
      </c>
      <c r="N4" t="s">
        <v>136</v>
      </c>
      <c r="O4" t="s">
        <v>58</v>
      </c>
      <c r="P4" t="s">
        <v>48</v>
      </c>
      <c r="Q4">
        <v>36423144</v>
      </c>
      <c r="R4" t="s">
        <v>60</v>
      </c>
      <c r="V4" s="1">
        <v>46069</v>
      </c>
      <c r="W4" s="5">
        <f ca="1">+(TODAY()-Tabla2[[#This Row],[FECHA DE NACIMIENTO]])/360</f>
        <v>8.8888888888888892E-2</v>
      </c>
    </row>
    <row r="5" spans="1:23" x14ac:dyDescent="0.45">
      <c r="A5" t="s">
        <v>23</v>
      </c>
      <c r="B5" t="s">
        <v>646</v>
      </c>
      <c r="C5" t="s">
        <v>89</v>
      </c>
      <c r="D5" s="1">
        <v>46006</v>
      </c>
      <c r="E5" t="s">
        <v>2060</v>
      </c>
      <c r="F5" t="s">
        <v>2061</v>
      </c>
      <c r="G5" t="s">
        <v>42</v>
      </c>
      <c r="H5" t="s">
        <v>2062</v>
      </c>
      <c r="I5" t="s">
        <v>2063</v>
      </c>
      <c r="J5" t="s">
        <v>142</v>
      </c>
      <c r="K5" t="s">
        <v>2064</v>
      </c>
      <c r="L5">
        <v>56979637775</v>
      </c>
      <c r="M5" t="s">
        <v>33</v>
      </c>
      <c r="N5" t="s">
        <v>34</v>
      </c>
      <c r="O5" t="s">
        <v>58</v>
      </c>
      <c r="P5" t="s">
        <v>66</v>
      </c>
      <c r="Q5">
        <v>22351872</v>
      </c>
      <c r="R5" t="s">
        <v>37</v>
      </c>
      <c r="S5" t="s">
        <v>137</v>
      </c>
      <c r="T5" t="s">
        <v>39</v>
      </c>
      <c r="V5" s="1">
        <v>39154</v>
      </c>
      <c r="W5" s="5">
        <f ca="1">+(TODAY()-Tabla2[[#This Row],[FECHA DE NACIMIENTO]])/360</f>
        <v>19.297222222222221</v>
      </c>
    </row>
    <row r="6" spans="1:23" x14ac:dyDescent="0.45">
      <c r="A6" t="s">
        <v>645</v>
      </c>
      <c r="B6" t="s">
        <v>666</v>
      </c>
      <c r="C6" t="s">
        <v>89</v>
      </c>
      <c r="D6" s="1">
        <v>46006</v>
      </c>
      <c r="E6" t="s">
        <v>2089</v>
      </c>
      <c r="F6" t="s">
        <v>2090</v>
      </c>
      <c r="G6" t="s">
        <v>42</v>
      </c>
      <c r="H6" t="s">
        <v>2062</v>
      </c>
      <c r="I6" t="s">
        <v>2091</v>
      </c>
      <c r="J6" t="s">
        <v>142</v>
      </c>
      <c r="K6" t="s">
        <v>2092</v>
      </c>
      <c r="L6">
        <v>982282902</v>
      </c>
      <c r="M6" t="s">
        <v>33</v>
      </c>
      <c r="N6" t="s">
        <v>34</v>
      </c>
      <c r="O6" t="s">
        <v>58</v>
      </c>
      <c r="P6" t="s">
        <v>66</v>
      </c>
      <c r="Q6">
        <v>22272978</v>
      </c>
      <c r="R6" t="s">
        <v>37</v>
      </c>
      <c r="S6" t="s">
        <v>38</v>
      </c>
      <c r="T6" t="s">
        <v>39</v>
      </c>
      <c r="V6" s="1">
        <v>39052</v>
      </c>
      <c r="W6" s="5">
        <f ca="1">+(TODAY()-Tabla2[[#This Row],[FECHA DE NACIMIENTO]])/360</f>
        <v>19.580555555555556</v>
      </c>
    </row>
    <row r="7" spans="1:23" x14ac:dyDescent="0.45">
      <c r="A7" t="s">
        <v>23</v>
      </c>
      <c r="B7" t="s">
        <v>652</v>
      </c>
      <c r="C7" t="s">
        <v>89</v>
      </c>
      <c r="D7" s="1">
        <v>45964</v>
      </c>
      <c r="E7" t="s">
        <v>1870</v>
      </c>
      <c r="F7" t="s">
        <v>1871</v>
      </c>
      <c r="G7" t="s">
        <v>42</v>
      </c>
      <c r="H7" t="s">
        <v>1872</v>
      </c>
      <c r="I7" t="s">
        <v>1873</v>
      </c>
      <c r="J7" t="s">
        <v>820</v>
      </c>
      <c r="K7" t="s">
        <v>1874</v>
      </c>
      <c r="L7">
        <v>935854094</v>
      </c>
      <c r="M7" t="s">
        <v>33</v>
      </c>
      <c r="N7" t="s">
        <v>57</v>
      </c>
      <c r="O7" t="s">
        <v>58</v>
      </c>
      <c r="P7" t="s">
        <v>17</v>
      </c>
      <c r="Q7">
        <v>27858973</v>
      </c>
      <c r="R7" t="s">
        <v>37</v>
      </c>
      <c r="S7" t="s">
        <v>137</v>
      </c>
      <c r="T7" t="s">
        <v>74</v>
      </c>
      <c r="U7" s="1">
        <v>46022</v>
      </c>
      <c r="V7" s="1">
        <v>38763</v>
      </c>
      <c r="W7" s="5">
        <f ca="1">+(TODAY()-Tabla2[[#This Row],[FECHA DE NACIMIENTO]])/360</f>
        <v>20.383333333333333</v>
      </c>
    </row>
    <row r="8" spans="1:23" x14ac:dyDescent="0.45">
      <c r="A8" t="s">
        <v>645</v>
      </c>
      <c r="B8" t="s">
        <v>2018</v>
      </c>
      <c r="C8" t="s">
        <v>89</v>
      </c>
      <c r="D8" s="1">
        <v>46006</v>
      </c>
      <c r="E8" t="s">
        <v>2037</v>
      </c>
      <c r="F8" t="s">
        <v>2038</v>
      </c>
      <c r="G8" t="s">
        <v>28</v>
      </c>
      <c r="H8" t="s">
        <v>327</v>
      </c>
      <c r="I8" t="s">
        <v>2039</v>
      </c>
      <c r="J8" t="s">
        <v>142</v>
      </c>
      <c r="K8" t="s">
        <v>2040</v>
      </c>
      <c r="L8">
        <v>965910646</v>
      </c>
      <c r="M8" t="s">
        <v>33</v>
      </c>
      <c r="N8" t="s">
        <v>34</v>
      </c>
      <c r="O8" t="s">
        <v>58</v>
      </c>
      <c r="P8" t="s">
        <v>66</v>
      </c>
      <c r="Q8">
        <v>21559406</v>
      </c>
      <c r="R8" t="s">
        <v>37</v>
      </c>
      <c r="S8" t="s">
        <v>38</v>
      </c>
      <c r="T8" t="s">
        <v>89</v>
      </c>
      <c r="V8" s="1">
        <v>38092</v>
      </c>
      <c r="W8" s="5">
        <f ca="1">+(TODAY()-Tabla2[[#This Row],[FECHA DE NACIMIENTO]])/360</f>
        <v>22.247222222222224</v>
      </c>
    </row>
    <row r="9" spans="1:23" x14ac:dyDescent="0.45">
      <c r="A9" t="s">
        <v>23</v>
      </c>
      <c r="B9" t="s">
        <v>659</v>
      </c>
      <c r="C9" t="s">
        <v>89</v>
      </c>
      <c r="D9" s="1">
        <v>46001</v>
      </c>
      <c r="E9" t="s">
        <v>1999</v>
      </c>
      <c r="F9" t="s">
        <v>2000</v>
      </c>
      <c r="G9" t="s">
        <v>42</v>
      </c>
      <c r="H9" t="s">
        <v>995</v>
      </c>
      <c r="I9" t="s">
        <v>2001</v>
      </c>
      <c r="J9" t="s">
        <v>94</v>
      </c>
      <c r="K9" t="s">
        <v>2002</v>
      </c>
      <c r="L9">
        <v>992264354</v>
      </c>
      <c r="M9" t="s">
        <v>33</v>
      </c>
      <c r="N9" t="s">
        <v>2003</v>
      </c>
      <c r="O9" t="s">
        <v>58</v>
      </c>
      <c r="P9" t="s">
        <v>66</v>
      </c>
      <c r="Q9">
        <v>28098339</v>
      </c>
      <c r="R9" t="s">
        <v>37</v>
      </c>
      <c r="S9" t="s">
        <v>137</v>
      </c>
      <c r="T9" t="s">
        <v>39</v>
      </c>
      <c r="U9" s="1">
        <v>46022</v>
      </c>
      <c r="V9" s="1">
        <v>37797</v>
      </c>
      <c r="W9" s="5">
        <f ca="1">+(TODAY()-Tabla2[[#This Row],[FECHA DE NACIMIENTO]])/360</f>
        <v>23.066666666666666</v>
      </c>
    </row>
    <row r="10" spans="1:23" x14ac:dyDescent="0.45">
      <c r="A10" t="s">
        <v>645</v>
      </c>
      <c r="B10" t="s">
        <v>2018</v>
      </c>
      <c r="C10" t="s">
        <v>89</v>
      </c>
      <c r="D10" s="1">
        <v>46006</v>
      </c>
      <c r="E10" t="s">
        <v>2019</v>
      </c>
      <c r="F10" t="s">
        <v>2020</v>
      </c>
      <c r="G10" t="s">
        <v>28</v>
      </c>
      <c r="H10" t="s">
        <v>2021</v>
      </c>
      <c r="I10" t="s">
        <v>2022</v>
      </c>
      <c r="J10" t="s">
        <v>915</v>
      </c>
      <c r="K10" t="s">
        <v>2023</v>
      </c>
      <c r="L10">
        <v>950003806</v>
      </c>
      <c r="M10" t="s">
        <v>33</v>
      </c>
      <c r="N10" t="s">
        <v>34</v>
      </c>
      <c r="O10" t="s">
        <v>58</v>
      </c>
      <c r="P10" t="s">
        <v>48</v>
      </c>
      <c r="Q10">
        <v>33322206</v>
      </c>
      <c r="R10" t="s">
        <v>37</v>
      </c>
      <c r="S10" t="s">
        <v>137</v>
      </c>
      <c r="T10" t="s">
        <v>39</v>
      </c>
      <c r="V10" s="1">
        <v>37790</v>
      </c>
      <c r="W10" s="5">
        <f ca="1">+(TODAY()-Tabla2[[#This Row],[FECHA DE NACIMIENTO]])/360</f>
        <v>23.086111111111112</v>
      </c>
    </row>
    <row r="11" spans="1:23" x14ac:dyDescent="0.45">
      <c r="A11" t="s">
        <v>23</v>
      </c>
      <c r="B11" t="s">
        <v>659</v>
      </c>
      <c r="C11" t="s">
        <v>89</v>
      </c>
      <c r="D11" s="1">
        <v>45971</v>
      </c>
      <c r="E11" t="s">
        <v>1933</v>
      </c>
      <c r="F11" t="s">
        <v>1934</v>
      </c>
      <c r="G11" t="s">
        <v>28</v>
      </c>
      <c r="H11" t="s">
        <v>302</v>
      </c>
      <c r="I11" t="s">
        <v>1935</v>
      </c>
      <c r="J11" t="s">
        <v>31</v>
      </c>
      <c r="K11" t="s">
        <v>1936</v>
      </c>
      <c r="L11">
        <v>56956755771</v>
      </c>
      <c r="M11" t="s">
        <v>33</v>
      </c>
      <c r="N11" t="s">
        <v>34</v>
      </c>
      <c r="O11" t="s">
        <v>35</v>
      </c>
      <c r="P11" t="s">
        <v>1937</v>
      </c>
      <c r="Q11">
        <v>8140402902</v>
      </c>
      <c r="R11" t="s">
        <v>37</v>
      </c>
      <c r="S11" t="s">
        <v>38</v>
      </c>
      <c r="T11" t="s">
        <v>89</v>
      </c>
      <c r="V11" s="1">
        <v>37187</v>
      </c>
      <c r="W11" s="5">
        <f ca="1">+(TODAY()-Tabla2[[#This Row],[FECHA DE NACIMIENTO]])/360</f>
        <v>24.761111111111113</v>
      </c>
    </row>
    <row r="12" spans="1:23" x14ac:dyDescent="0.45">
      <c r="A12" t="s">
        <v>23</v>
      </c>
      <c r="B12" t="s">
        <v>125</v>
      </c>
      <c r="C12" t="s">
        <v>89</v>
      </c>
      <c r="D12" s="1">
        <v>46001</v>
      </c>
      <c r="E12" t="s">
        <v>2014</v>
      </c>
      <c r="F12" t="s">
        <v>2015</v>
      </c>
      <c r="G12" t="s">
        <v>42</v>
      </c>
      <c r="H12" t="s">
        <v>327</v>
      </c>
      <c r="I12" t="s">
        <v>2016</v>
      </c>
      <c r="J12" t="s">
        <v>643</v>
      </c>
      <c r="K12" t="s">
        <v>2017</v>
      </c>
      <c r="L12">
        <v>994065165</v>
      </c>
      <c r="M12" t="s">
        <v>33</v>
      </c>
      <c r="N12" t="s">
        <v>34</v>
      </c>
      <c r="O12" t="s">
        <v>35</v>
      </c>
      <c r="P12" t="s">
        <v>36</v>
      </c>
      <c r="Q12">
        <v>86518562</v>
      </c>
      <c r="R12" t="s">
        <v>37</v>
      </c>
      <c r="S12" t="s">
        <v>137</v>
      </c>
      <c r="T12" t="s">
        <v>39</v>
      </c>
      <c r="V12" s="1">
        <v>37049</v>
      </c>
      <c r="W12" s="5">
        <f ca="1">+(TODAY()-Tabla2[[#This Row],[FECHA DE NACIMIENTO]])/360</f>
        <v>25.144444444444446</v>
      </c>
    </row>
    <row r="13" spans="1:23" x14ac:dyDescent="0.45">
      <c r="A13" t="s">
        <v>23</v>
      </c>
      <c r="B13" t="s">
        <v>659</v>
      </c>
      <c r="C13" t="s">
        <v>89</v>
      </c>
      <c r="D13" s="1">
        <v>46069</v>
      </c>
      <c r="E13" t="s">
        <v>2571</v>
      </c>
      <c r="F13" t="s">
        <v>2572</v>
      </c>
      <c r="G13" t="s">
        <v>42</v>
      </c>
      <c r="H13" t="s">
        <v>156</v>
      </c>
      <c r="I13" t="s">
        <v>2573</v>
      </c>
      <c r="J13" t="s">
        <v>31</v>
      </c>
      <c r="K13" t="s">
        <v>2574</v>
      </c>
      <c r="L13">
        <v>981831309</v>
      </c>
      <c r="M13" t="s">
        <v>33</v>
      </c>
      <c r="N13" t="s">
        <v>34</v>
      </c>
      <c r="O13" t="s">
        <v>58</v>
      </c>
      <c r="P13" t="s">
        <v>66</v>
      </c>
      <c r="Q13">
        <v>20183421</v>
      </c>
      <c r="R13" t="s">
        <v>60</v>
      </c>
      <c r="V13" s="1">
        <v>36335</v>
      </c>
      <c r="W13" s="5">
        <f ca="1">+(TODAY()-Tabla2[[#This Row],[FECHA DE NACIMIENTO]])/360</f>
        <v>27.127777777777776</v>
      </c>
    </row>
    <row r="14" spans="1:23" x14ac:dyDescent="0.45">
      <c r="A14" t="s">
        <v>645</v>
      </c>
      <c r="B14" t="s">
        <v>694</v>
      </c>
      <c r="C14" t="s">
        <v>89</v>
      </c>
      <c r="D14" s="1">
        <v>46006</v>
      </c>
      <c r="E14" t="s">
        <v>2028</v>
      </c>
      <c r="F14" t="s">
        <v>2029</v>
      </c>
      <c r="G14" t="s">
        <v>42</v>
      </c>
      <c r="H14" t="s">
        <v>327</v>
      </c>
      <c r="I14" t="s">
        <v>2030</v>
      </c>
      <c r="J14" t="s">
        <v>204</v>
      </c>
      <c r="K14" t="s">
        <v>2031</v>
      </c>
      <c r="L14">
        <v>976995664</v>
      </c>
      <c r="M14" t="s">
        <v>33</v>
      </c>
      <c r="N14" t="s">
        <v>34</v>
      </c>
      <c r="O14" t="s">
        <v>58</v>
      </c>
      <c r="P14" t="s">
        <v>66</v>
      </c>
      <c r="Q14">
        <v>202082632</v>
      </c>
      <c r="R14" t="s">
        <v>37</v>
      </c>
      <c r="S14" t="s">
        <v>137</v>
      </c>
      <c r="T14" t="s">
        <v>74</v>
      </c>
      <c r="V14" s="1">
        <v>36195</v>
      </c>
      <c r="W14" s="5">
        <f ca="1">+(TODAY()-Tabla2[[#This Row],[FECHA DE NACIMIENTO]])/360</f>
        <v>27.516666666666666</v>
      </c>
    </row>
    <row r="15" spans="1:23" x14ac:dyDescent="0.45">
      <c r="A15" t="s">
        <v>23</v>
      </c>
      <c r="B15" t="s">
        <v>646</v>
      </c>
      <c r="C15" t="s">
        <v>89</v>
      </c>
      <c r="D15" s="1">
        <v>46006</v>
      </c>
      <c r="E15" t="s">
        <v>2093</v>
      </c>
      <c r="F15" t="s">
        <v>2094</v>
      </c>
      <c r="G15" t="s">
        <v>42</v>
      </c>
      <c r="H15" t="s">
        <v>2095</v>
      </c>
      <c r="I15" t="s">
        <v>2096</v>
      </c>
      <c r="J15" t="s">
        <v>375</v>
      </c>
      <c r="K15" t="s">
        <v>2097</v>
      </c>
      <c r="L15">
        <v>56982742413</v>
      </c>
      <c r="M15" t="s">
        <v>33</v>
      </c>
      <c r="N15" t="s">
        <v>34</v>
      </c>
      <c r="O15" t="s">
        <v>58</v>
      </c>
      <c r="P15" t="s">
        <v>17</v>
      </c>
      <c r="Q15">
        <v>19418770</v>
      </c>
      <c r="R15" t="s">
        <v>37</v>
      </c>
      <c r="S15" t="s">
        <v>537</v>
      </c>
      <c r="T15" t="s">
        <v>39</v>
      </c>
      <c r="V15" s="1">
        <v>35439</v>
      </c>
      <c r="W15" s="5">
        <f ca="1">+(TODAY()-Tabla2[[#This Row],[FECHA DE NACIMIENTO]])/360</f>
        <v>29.616666666666667</v>
      </c>
    </row>
    <row r="16" spans="1:23" x14ac:dyDescent="0.45">
      <c r="A16" t="s">
        <v>23</v>
      </c>
      <c r="B16" t="s">
        <v>24</v>
      </c>
      <c r="C16" t="s">
        <v>89</v>
      </c>
      <c r="D16" s="1">
        <v>46069</v>
      </c>
      <c r="E16" t="s">
        <v>2600</v>
      </c>
      <c r="F16" t="s">
        <v>2601</v>
      </c>
      <c r="G16" t="s">
        <v>42</v>
      </c>
      <c r="H16" t="s">
        <v>1427</v>
      </c>
      <c r="I16" t="s">
        <v>2602</v>
      </c>
      <c r="J16" t="s">
        <v>165</v>
      </c>
      <c r="K16" t="s">
        <v>2603</v>
      </c>
      <c r="L16">
        <v>991308536</v>
      </c>
      <c r="M16" t="s">
        <v>33</v>
      </c>
      <c r="N16" t="s">
        <v>34</v>
      </c>
      <c r="O16" t="s">
        <v>58</v>
      </c>
      <c r="P16" t="s">
        <v>677</v>
      </c>
      <c r="Q16">
        <v>156121186</v>
      </c>
      <c r="R16" t="s">
        <v>37</v>
      </c>
      <c r="V16" s="1">
        <v>35293</v>
      </c>
      <c r="W16" s="5">
        <f ca="1">+(TODAY()-Tabla2[[#This Row],[FECHA DE NACIMIENTO]])/360</f>
        <v>30.022222222222222</v>
      </c>
    </row>
    <row r="17" spans="1:23" x14ac:dyDescent="0.45">
      <c r="A17" t="s">
        <v>23</v>
      </c>
      <c r="B17" t="s">
        <v>632</v>
      </c>
      <c r="C17" t="s">
        <v>633</v>
      </c>
      <c r="D17" s="1">
        <v>46069</v>
      </c>
      <c r="E17" t="s">
        <v>2579</v>
      </c>
      <c r="F17" t="s">
        <v>2580</v>
      </c>
      <c r="G17" t="s">
        <v>28</v>
      </c>
      <c r="H17" t="s">
        <v>69</v>
      </c>
      <c r="I17" t="s">
        <v>2581</v>
      </c>
      <c r="J17" t="s">
        <v>54</v>
      </c>
      <c r="K17" t="s">
        <v>2582</v>
      </c>
      <c r="L17">
        <v>923834468</v>
      </c>
      <c r="M17" t="s">
        <v>33</v>
      </c>
      <c r="N17" t="s">
        <v>34</v>
      </c>
      <c r="O17" t="s">
        <v>58</v>
      </c>
      <c r="P17" t="s">
        <v>17</v>
      </c>
      <c r="Q17">
        <v>19438826</v>
      </c>
      <c r="R17" t="s">
        <v>60</v>
      </c>
      <c r="V17" s="1">
        <v>35228</v>
      </c>
      <c r="W17" s="5">
        <f ca="1">+(TODAY()-Tabla2[[#This Row],[FECHA DE NACIMIENTO]])/360</f>
        <v>30.202777777777779</v>
      </c>
    </row>
    <row r="18" spans="1:23" x14ac:dyDescent="0.45">
      <c r="A18" t="s">
        <v>645</v>
      </c>
      <c r="B18" t="s">
        <v>694</v>
      </c>
      <c r="C18" t="s">
        <v>89</v>
      </c>
      <c r="D18" s="1">
        <v>46006</v>
      </c>
      <c r="E18" t="s">
        <v>2080</v>
      </c>
      <c r="F18" t="s">
        <v>2081</v>
      </c>
      <c r="G18" t="s">
        <v>28</v>
      </c>
      <c r="H18" t="s">
        <v>2082</v>
      </c>
      <c r="I18" t="s">
        <v>2083</v>
      </c>
      <c r="J18" t="s">
        <v>241</v>
      </c>
      <c r="K18" t="s">
        <v>2084</v>
      </c>
      <c r="L18">
        <v>953142512</v>
      </c>
      <c r="M18" t="s">
        <v>33</v>
      </c>
      <c r="N18" t="s">
        <v>34</v>
      </c>
      <c r="O18" t="s">
        <v>35</v>
      </c>
      <c r="P18" t="s">
        <v>82</v>
      </c>
      <c r="Q18">
        <v>15140188040</v>
      </c>
      <c r="R18" t="s">
        <v>37</v>
      </c>
      <c r="S18" t="s">
        <v>137</v>
      </c>
      <c r="T18" t="s">
        <v>39</v>
      </c>
      <c r="V18" s="1">
        <v>35177</v>
      </c>
      <c r="W18" s="5">
        <f ca="1">+(TODAY()-Tabla2[[#This Row],[FECHA DE NACIMIENTO]])/360</f>
        <v>30.344444444444445</v>
      </c>
    </row>
    <row r="19" spans="1:23" x14ac:dyDescent="0.45">
      <c r="A19" t="s">
        <v>23</v>
      </c>
      <c r="B19" t="s">
        <v>632</v>
      </c>
      <c r="C19" t="s">
        <v>633</v>
      </c>
      <c r="D19" s="1">
        <v>46069</v>
      </c>
      <c r="E19" t="s">
        <v>2583</v>
      </c>
      <c r="F19" t="s">
        <v>2584</v>
      </c>
      <c r="G19" t="s">
        <v>28</v>
      </c>
      <c r="H19" t="s">
        <v>1427</v>
      </c>
      <c r="I19" t="s">
        <v>2585</v>
      </c>
      <c r="J19" t="s">
        <v>142</v>
      </c>
      <c r="K19" t="s">
        <v>2586</v>
      </c>
      <c r="L19">
        <v>982253782</v>
      </c>
      <c r="M19" t="s">
        <v>33</v>
      </c>
      <c r="N19" t="s">
        <v>34</v>
      </c>
      <c r="O19" t="s">
        <v>58</v>
      </c>
      <c r="P19" t="s">
        <v>66</v>
      </c>
      <c r="Q19">
        <v>19220527</v>
      </c>
      <c r="R19" t="s">
        <v>37</v>
      </c>
      <c r="V19" s="1">
        <v>35023</v>
      </c>
      <c r="W19" s="5">
        <f ca="1">+(TODAY()-Tabla2[[#This Row],[FECHA DE NACIMIENTO]])/360</f>
        <v>30.772222222222222</v>
      </c>
    </row>
    <row r="20" spans="1:23" x14ac:dyDescent="0.45">
      <c r="A20" t="s">
        <v>23</v>
      </c>
      <c r="B20" t="s">
        <v>632</v>
      </c>
      <c r="C20" t="s">
        <v>633</v>
      </c>
      <c r="D20" s="1">
        <v>46090</v>
      </c>
      <c r="E20" t="s">
        <v>2692</v>
      </c>
      <c r="F20" t="s">
        <v>2693</v>
      </c>
      <c r="I20" t="s">
        <v>2694</v>
      </c>
      <c r="J20" t="s">
        <v>204</v>
      </c>
      <c r="K20" t="s">
        <v>2695</v>
      </c>
      <c r="L20">
        <v>948585639</v>
      </c>
      <c r="M20" t="s">
        <v>56</v>
      </c>
      <c r="N20" t="s">
        <v>2696</v>
      </c>
      <c r="O20" t="s">
        <v>58</v>
      </c>
      <c r="P20" t="s">
        <v>66</v>
      </c>
      <c r="Q20">
        <v>28731281</v>
      </c>
      <c r="R20" t="s">
        <v>60</v>
      </c>
      <c r="V20" s="1">
        <v>34984</v>
      </c>
      <c r="W20" s="5">
        <f ca="1">+(TODAY()-Tabla2[[#This Row],[FECHA DE NACIMIENTO]])/360</f>
        <v>30.880555555555556</v>
      </c>
    </row>
    <row r="21" spans="1:23" x14ac:dyDescent="0.45">
      <c r="A21" t="s">
        <v>23</v>
      </c>
      <c r="B21" t="s">
        <v>2654</v>
      </c>
      <c r="C21" t="s">
        <v>89</v>
      </c>
      <c r="D21" s="1">
        <v>46090</v>
      </c>
      <c r="E21" t="s">
        <v>2659</v>
      </c>
      <c r="F21" t="s">
        <v>2660</v>
      </c>
      <c r="I21" t="s">
        <v>2661</v>
      </c>
      <c r="J21" t="s">
        <v>364</v>
      </c>
      <c r="K21" t="s">
        <v>2662</v>
      </c>
      <c r="L21">
        <v>940086173</v>
      </c>
      <c r="M21" t="s">
        <v>33</v>
      </c>
      <c r="N21" t="s">
        <v>34</v>
      </c>
      <c r="O21" t="s">
        <v>58</v>
      </c>
      <c r="P21" t="s">
        <v>66</v>
      </c>
      <c r="Q21">
        <v>191824628</v>
      </c>
      <c r="R21" t="s">
        <v>60</v>
      </c>
      <c r="V21" s="1">
        <v>34852</v>
      </c>
      <c r="W21" s="5">
        <f ca="1">+(TODAY()-Tabla2[[#This Row],[FECHA DE NACIMIENTO]])/360</f>
        <v>31.247222222222224</v>
      </c>
    </row>
    <row r="22" spans="1:23" x14ac:dyDescent="0.45">
      <c r="A22" t="s">
        <v>23</v>
      </c>
      <c r="B22" t="s">
        <v>24</v>
      </c>
      <c r="C22" t="s">
        <v>89</v>
      </c>
      <c r="D22" s="1">
        <v>46069</v>
      </c>
      <c r="E22" t="s">
        <v>2591</v>
      </c>
      <c r="F22" t="s">
        <v>2592</v>
      </c>
      <c r="G22" t="s">
        <v>42</v>
      </c>
      <c r="H22" t="s">
        <v>89</v>
      </c>
      <c r="I22" t="s">
        <v>2593</v>
      </c>
      <c r="J22" t="s">
        <v>165</v>
      </c>
      <c r="K22" t="s">
        <v>2594</v>
      </c>
      <c r="L22">
        <v>996237459</v>
      </c>
      <c r="M22" t="s">
        <v>33</v>
      </c>
      <c r="N22" t="s">
        <v>34</v>
      </c>
      <c r="O22" t="s">
        <v>58</v>
      </c>
      <c r="P22" t="s">
        <v>66</v>
      </c>
      <c r="Q22">
        <v>18517357</v>
      </c>
      <c r="R22" t="s">
        <v>37</v>
      </c>
      <c r="V22" s="1">
        <v>34397</v>
      </c>
      <c r="W22" s="5">
        <f ca="1">+(TODAY()-Tabla2[[#This Row],[FECHA DE NACIMIENTO]])/360</f>
        <v>32.511111111111113</v>
      </c>
    </row>
    <row r="23" spans="1:23" x14ac:dyDescent="0.45">
      <c r="A23" t="s">
        <v>23</v>
      </c>
      <c r="B23" t="s">
        <v>632</v>
      </c>
      <c r="C23" t="s">
        <v>633</v>
      </c>
      <c r="D23" s="1">
        <v>46069</v>
      </c>
      <c r="E23" t="s">
        <v>2575</v>
      </c>
      <c r="F23" t="s">
        <v>2576</v>
      </c>
      <c r="G23" t="s">
        <v>42</v>
      </c>
      <c r="H23" t="s">
        <v>1427</v>
      </c>
      <c r="I23" t="s">
        <v>2577</v>
      </c>
      <c r="J23" t="s">
        <v>142</v>
      </c>
      <c r="K23" t="s">
        <v>2578</v>
      </c>
      <c r="L23">
        <v>950022419</v>
      </c>
      <c r="M23" t="s">
        <v>33</v>
      </c>
      <c r="N23" t="s">
        <v>34</v>
      </c>
      <c r="O23" t="s">
        <v>58</v>
      </c>
      <c r="P23" t="s">
        <v>66</v>
      </c>
      <c r="Q23">
        <v>18189757</v>
      </c>
      <c r="R23" t="s">
        <v>60</v>
      </c>
      <c r="V23" s="1">
        <v>33843</v>
      </c>
      <c r="W23" s="5">
        <f ca="1">+(TODAY()-Tabla2[[#This Row],[FECHA DE NACIMIENTO]])/360</f>
        <v>34.049999999999997</v>
      </c>
    </row>
    <row r="24" spans="1:23" x14ac:dyDescent="0.45">
      <c r="A24" t="s">
        <v>23</v>
      </c>
      <c r="B24" t="s">
        <v>652</v>
      </c>
      <c r="C24" t="s">
        <v>89</v>
      </c>
      <c r="D24" s="1">
        <v>46006</v>
      </c>
      <c r="E24" t="s">
        <v>2024</v>
      </c>
      <c r="F24" t="s">
        <v>2025</v>
      </c>
      <c r="G24" t="s">
        <v>28</v>
      </c>
      <c r="H24" t="s">
        <v>302</v>
      </c>
      <c r="I24" t="s">
        <v>2026</v>
      </c>
      <c r="J24" t="s">
        <v>165</v>
      </c>
      <c r="K24" t="s">
        <v>2027</v>
      </c>
      <c r="L24">
        <v>56971032284</v>
      </c>
      <c r="M24" t="s">
        <v>33</v>
      </c>
      <c r="N24" t="s">
        <v>34</v>
      </c>
      <c r="O24" t="s">
        <v>35</v>
      </c>
      <c r="P24" t="s">
        <v>474</v>
      </c>
      <c r="Q24">
        <v>213835208</v>
      </c>
      <c r="R24" t="s">
        <v>37</v>
      </c>
      <c r="S24" t="s">
        <v>137</v>
      </c>
      <c r="T24" t="s">
        <v>39</v>
      </c>
      <c r="V24" s="1">
        <v>33558</v>
      </c>
      <c r="W24" s="5">
        <f ca="1">+(TODAY()-Tabla2[[#This Row],[FECHA DE NACIMIENTO]])/360</f>
        <v>34.841666666666669</v>
      </c>
    </row>
    <row r="25" spans="1:23" x14ac:dyDescent="0.45">
      <c r="A25" t="s">
        <v>23</v>
      </c>
      <c r="B25" t="s">
        <v>659</v>
      </c>
      <c r="C25" t="s">
        <v>89</v>
      </c>
      <c r="D25" s="1">
        <v>45971</v>
      </c>
      <c r="E25" t="s">
        <v>1928</v>
      </c>
      <c r="F25" t="s">
        <v>1929</v>
      </c>
      <c r="G25" t="s">
        <v>42</v>
      </c>
      <c r="H25" t="s">
        <v>1930</v>
      </c>
      <c r="I25" t="s">
        <v>1931</v>
      </c>
      <c r="J25" t="s">
        <v>259</v>
      </c>
      <c r="K25" t="s">
        <v>1932</v>
      </c>
      <c r="L25">
        <v>56971916715</v>
      </c>
      <c r="M25" t="s">
        <v>33</v>
      </c>
      <c r="N25" t="s">
        <v>34</v>
      </c>
      <c r="O25" t="s">
        <v>58</v>
      </c>
      <c r="P25" t="s">
        <v>36</v>
      </c>
      <c r="Q25">
        <v>7005924485</v>
      </c>
      <c r="R25" t="s">
        <v>37</v>
      </c>
      <c r="S25" t="s">
        <v>38</v>
      </c>
      <c r="T25" t="s">
        <v>89</v>
      </c>
      <c r="V25" s="1">
        <v>33336</v>
      </c>
      <c r="W25" s="5">
        <f ca="1">+(TODAY()-Tabla2[[#This Row],[FECHA DE NACIMIENTO]])/360</f>
        <v>35.458333333333336</v>
      </c>
    </row>
    <row r="26" spans="1:23" x14ac:dyDescent="0.45">
      <c r="A26" t="s">
        <v>23</v>
      </c>
      <c r="B26" t="s">
        <v>659</v>
      </c>
      <c r="C26" t="s">
        <v>89</v>
      </c>
      <c r="D26" s="1">
        <v>46001</v>
      </c>
      <c r="E26" t="s">
        <v>1962</v>
      </c>
      <c r="F26" t="s">
        <v>1963</v>
      </c>
      <c r="G26" t="s">
        <v>42</v>
      </c>
      <c r="H26" t="s">
        <v>1672</v>
      </c>
      <c r="I26" t="s">
        <v>1964</v>
      </c>
      <c r="J26" t="s">
        <v>375</v>
      </c>
      <c r="K26" t="s">
        <v>1965</v>
      </c>
      <c r="L26">
        <v>986203150</v>
      </c>
      <c r="M26" t="s">
        <v>33</v>
      </c>
      <c r="N26" t="s">
        <v>34</v>
      </c>
      <c r="O26" t="s">
        <v>58</v>
      </c>
      <c r="P26" t="s">
        <v>1966</v>
      </c>
      <c r="Q26">
        <v>18569330</v>
      </c>
      <c r="R26" t="s">
        <v>37</v>
      </c>
      <c r="S26" t="s">
        <v>537</v>
      </c>
      <c r="T26" t="s">
        <v>39</v>
      </c>
      <c r="U26" s="1">
        <v>46022</v>
      </c>
      <c r="V26" s="1">
        <v>33193</v>
      </c>
      <c r="W26" s="5">
        <f ca="1">+(TODAY()-Tabla2[[#This Row],[FECHA DE NACIMIENTO]])/360</f>
        <v>35.855555555555554</v>
      </c>
    </row>
    <row r="27" spans="1:23" x14ac:dyDescent="0.45">
      <c r="A27" t="s">
        <v>23</v>
      </c>
      <c r="B27" t="s">
        <v>632</v>
      </c>
      <c r="C27" t="s">
        <v>633</v>
      </c>
      <c r="D27" s="1">
        <v>46001</v>
      </c>
      <c r="E27" t="s">
        <v>1971</v>
      </c>
      <c r="F27" t="s">
        <v>1972</v>
      </c>
      <c r="G27" t="s">
        <v>42</v>
      </c>
      <c r="H27" t="s">
        <v>1973</v>
      </c>
      <c r="I27" t="s">
        <v>1974</v>
      </c>
      <c r="J27" t="s">
        <v>165</v>
      </c>
      <c r="K27" t="s">
        <v>1975</v>
      </c>
      <c r="L27">
        <v>975878427</v>
      </c>
      <c r="M27" t="s">
        <v>81</v>
      </c>
      <c r="N27" t="s">
        <v>34</v>
      </c>
      <c r="O27" t="s">
        <v>58</v>
      </c>
      <c r="P27" t="s">
        <v>17</v>
      </c>
      <c r="Q27">
        <v>17545096</v>
      </c>
      <c r="R27" t="s">
        <v>37</v>
      </c>
      <c r="S27" t="s">
        <v>38</v>
      </c>
      <c r="T27" t="s">
        <v>39</v>
      </c>
      <c r="V27" s="1">
        <v>33077</v>
      </c>
      <c r="W27" s="5">
        <f ca="1">+(TODAY()-Tabla2[[#This Row],[FECHA DE NACIMIENTO]])/360</f>
        <v>36.177777777777777</v>
      </c>
    </row>
    <row r="28" spans="1:23" x14ac:dyDescent="0.45">
      <c r="A28" t="s">
        <v>23</v>
      </c>
      <c r="B28" t="s">
        <v>388</v>
      </c>
      <c r="C28" t="s">
        <v>89</v>
      </c>
      <c r="D28" s="1">
        <v>46006</v>
      </c>
      <c r="E28" t="s">
        <v>2070</v>
      </c>
      <c r="F28" t="s">
        <v>2071</v>
      </c>
      <c r="G28" t="s">
        <v>42</v>
      </c>
      <c r="H28" t="s">
        <v>2072</v>
      </c>
      <c r="I28" t="s">
        <v>2073</v>
      </c>
      <c r="J28" t="s">
        <v>94</v>
      </c>
      <c r="K28" t="s">
        <v>2074</v>
      </c>
      <c r="L28">
        <v>936619360</v>
      </c>
      <c r="M28" t="s">
        <v>81</v>
      </c>
      <c r="N28" t="s">
        <v>34</v>
      </c>
      <c r="O28" t="s">
        <v>58</v>
      </c>
      <c r="P28" t="s">
        <v>48</v>
      </c>
      <c r="Q28">
        <v>108121032</v>
      </c>
      <c r="R28" t="s">
        <v>37</v>
      </c>
      <c r="S28" t="s">
        <v>137</v>
      </c>
      <c r="T28" t="s">
        <v>74</v>
      </c>
      <c r="V28" s="1">
        <v>32434</v>
      </c>
      <c r="W28" s="5">
        <f ca="1">+(TODAY()-Tabla2[[#This Row],[FECHA DE NACIMIENTO]])/360</f>
        <v>37.963888888888889</v>
      </c>
    </row>
    <row r="29" spans="1:23" x14ac:dyDescent="0.45">
      <c r="A29" t="s">
        <v>23</v>
      </c>
      <c r="B29" t="s">
        <v>388</v>
      </c>
      <c r="C29" t="s">
        <v>89</v>
      </c>
      <c r="D29" s="1">
        <v>46069</v>
      </c>
      <c r="E29" t="s">
        <v>2595</v>
      </c>
      <c r="F29" t="s">
        <v>2596</v>
      </c>
      <c r="G29" t="s">
        <v>42</v>
      </c>
      <c r="H29" t="s">
        <v>2597</v>
      </c>
      <c r="I29" t="s">
        <v>2598</v>
      </c>
      <c r="J29" t="s">
        <v>834</v>
      </c>
      <c r="K29" t="s">
        <v>2599</v>
      </c>
      <c r="L29">
        <v>948830676</v>
      </c>
      <c r="M29" t="s">
        <v>33</v>
      </c>
      <c r="N29" t="s">
        <v>34</v>
      </c>
      <c r="O29" t="s">
        <v>35</v>
      </c>
      <c r="P29" t="s">
        <v>1942</v>
      </c>
      <c r="Q29">
        <v>19995546726</v>
      </c>
      <c r="R29" t="s">
        <v>37</v>
      </c>
      <c r="V29" s="1">
        <v>32122</v>
      </c>
      <c r="W29" s="5">
        <f ca="1">+(TODAY()-Tabla2[[#This Row],[FECHA DE NACIMIENTO]])/360</f>
        <v>38.830555555555556</v>
      </c>
    </row>
    <row r="30" spans="1:23" x14ac:dyDescent="0.45">
      <c r="A30" t="s">
        <v>23</v>
      </c>
      <c r="B30" t="s">
        <v>2654</v>
      </c>
      <c r="C30" t="s">
        <v>89</v>
      </c>
      <c r="D30" s="1">
        <v>46090</v>
      </c>
      <c r="E30" t="s">
        <v>2655</v>
      </c>
      <c r="F30" t="s">
        <v>2656</v>
      </c>
      <c r="I30" t="s">
        <v>2657</v>
      </c>
      <c r="J30" t="s">
        <v>165</v>
      </c>
      <c r="K30" t="s">
        <v>2658</v>
      </c>
      <c r="L30">
        <v>986425281</v>
      </c>
      <c r="M30" t="s">
        <v>33</v>
      </c>
      <c r="N30" t="s">
        <v>57</v>
      </c>
      <c r="O30" t="s">
        <v>35</v>
      </c>
      <c r="P30" t="s">
        <v>1942</v>
      </c>
      <c r="Q30">
        <v>18800160324</v>
      </c>
      <c r="R30" t="s">
        <v>60</v>
      </c>
      <c r="V30" s="1">
        <v>32005</v>
      </c>
      <c r="W30" s="5">
        <f ca="1">+(TODAY()-Tabla2[[#This Row],[FECHA DE NACIMIENTO]])/360</f>
        <v>39.155555555555559</v>
      </c>
    </row>
    <row r="31" spans="1:23" x14ac:dyDescent="0.45">
      <c r="A31" t="s">
        <v>645</v>
      </c>
      <c r="B31" t="s">
        <v>694</v>
      </c>
      <c r="C31" t="s">
        <v>89</v>
      </c>
      <c r="D31" s="1">
        <v>46006</v>
      </c>
      <c r="E31" t="s">
        <v>2046</v>
      </c>
      <c r="F31" t="s">
        <v>2047</v>
      </c>
      <c r="G31" t="s">
        <v>28</v>
      </c>
      <c r="H31" t="s">
        <v>2048</v>
      </c>
      <c r="I31" t="s">
        <v>2049</v>
      </c>
      <c r="J31" t="s">
        <v>1806</v>
      </c>
      <c r="K31" t="s">
        <v>2050</v>
      </c>
      <c r="L31">
        <v>56962385611</v>
      </c>
      <c r="M31" t="s">
        <v>33</v>
      </c>
      <c r="N31" t="s">
        <v>34</v>
      </c>
      <c r="O31" t="s">
        <v>58</v>
      </c>
      <c r="P31" t="s">
        <v>66</v>
      </c>
      <c r="Q31">
        <v>165018818</v>
      </c>
      <c r="R31" t="s">
        <v>37</v>
      </c>
      <c r="S31" t="s">
        <v>38</v>
      </c>
      <c r="T31" t="s">
        <v>89</v>
      </c>
      <c r="V31" s="1">
        <v>31823</v>
      </c>
      <c r="W31" s="5">
        <f ca="1">+(TODAY()-Tabla2[[#This Row],[FECHA DE NACIMIENTO]])/360</f>
        <v>39.661111111111111</v>
      </c>
    </row>
    <row r="32" spans="1:23" x14ac:dyDescent="0.45">
      <c r="A32" t="s">
        <v>23</v>
      </c>
      <c r="B32" t="s">
        <v>24</v>
      </c>
      <c r="C32" t="s">
        <v>25</v>
      </c>
      <c r="D32" s="1">
        <v>46090</v>
      </c>
      <c r="E32" t="s">
        <v>2682</v>
      </c>
      <c r="F32" t="s">
        <v>2683</v>
      </c>
      <c r="I32" t="s">
        <v>2684</v>
      </c>
      <c r="J32" t="s">
        <v>2685</v>
      </c>
      <c r="K32" t="s">
        <v>2686</v>
      </c>
      <c r="L32">
        <v>986331529</v>
      </c>
      <c r="M32" t="s">
        <v>33</v>
      </c>
      <c r="N32" t="s">
        <v>57</v>
      </c>
      <c r="O32" t="s">
        <v>35</v>
      </c>
      <c r="P32" t="s">
        <v>2687</v>
      </c>
      <c r="Q32">
        <v>232424030</v>
      </c>
      <c r="R32" t="s">
        <v>60</v>
      </c>
      <c r="V32" s="1">
        <v>31744</v>
      </c>
      <c r="W32" s="5">
        <f ca="1">+(TODAY()-Tabla2[[#This Row],[FECHA DE NACIMIENTO]])/360</f>
        <v>39.880555555555553</v>
      </c>
    </row>
    <row r="33" spans="1:23" x14ac:dyDescent="0.45">
      <c r="A33" t="s">
        <v>645</v>
      </c>
      <c r="B33" t="s">
        <v>2018</v>
      </c>
      <c r="C33" t="s">
        <v>89</v>
      </c>
      <c r="D33" s="1">
        <v>46006</v>
      </c>
      <c r="E33" t="s">
        <v>2085</v>
      </c>
      <c r="F33" t="s">
        <v>2086</v>
      </c>
      <c r="G33" t="s">
        <v>28</v>
      </c>
      <c r="H33" t="s">
        <v>1483</v>
      </c>
      <c r="I33" t="s">
        <v>2087</v>
      </c>
      <c r="J33" t="s">
        <v>241</v>
      </c>
      <c r="K33" t="s">
        <v>2088</v>
      </c>
      <c r="L33">
        <v>56945405991</v>
      </c>
      <c r="M33" t="s">
        <v>56</v>
      </c>
      <c r="N33" t="s">
        <v>34</v>
      </c>
      <c r="O33" t="s">
        <v>35</v>
      </c>
      <c r="P33" t="s">
        <v>96</v>
      </c>
      <c r="Q33">
        <v>72982721</v>
      </c>
      <c r="R33" t="s">
        <v>37</v>
      </c>
      <c r="S33" t="s">
        <v>137</v>
      </c>
      <c r="T33" t="s">
        <v>39</v>
      </c>
      <c r="V33" s="1">
        <v>31681</v>
      </c>
      <c r="W33" s="5">
        <f ca="1">+(TODAY()-Tabla2[[#This Row],[FECHA DE NACIMIENTO]])/360</f>
        <v>40.055555555555557</v>
      </c>
    </row>
    <row r="34" spans="1:23" x14ac:dyDescent="0.45">
      <c r="A34" t="s">
        <v>23</v>
      </c>
      <c r="B34" t="s">
        <v>632</v>
      </c>
      <c r="C34" t="s">
        <v>633</v>
      </c>
      <c r="D34" s="1">
        <v>45964</v>
      </c>
      <c r="E34" t="s">
        <v>1850</v>
      </c>
      <c r="F34" t="s">
        <v>1851</v>
      </c>
      <c r="G34" t="s">
        <v>28</v>
      </c>
      <c r="H34" t="s">
        <v>1285</v>
      </c>
      <c r="I34" t="s">
        <v>1852</v>
      </c>
      <c r="J34" t="s">
        <v>142</v>
      </c>
      <c r="K34" t="s">
        <v>1853</v>
      </c>
      <c r="L34">
        <v>56932596732</v>
      </c>
      <c r="M34" t="s">
        <v>56</v>
      </c>
      <c r="N34" t="s">
        <v>57</v>
      </c>
      <c r="O34" t="s">
        <v>58</v>
      </c>
      <c r="P34" t="s">
        <v>17</v>
      </c>
      <c r="Q34">
        <v>27109000</v>
      </c>
      <c r="R34" t="s">
        <v>60</v>
      </c>
      <c r="S34" t="s">
        <v>137</v>
      </c>
      <c r="T34" t="s">
        <v>39</v>
      </c>
      <c r="U34" s="1">
        <v>46022</v>
      </c>
      <c r="V34" s="1">
        <v>31645</v>
      </c>
      <c r="W34" s="5">
        <f ca="1">+(TODAY()-Tabla2[[#This Row],[FECHA DE NACIMIENTO]])/360</f>
        <v>40.155555555555559</v>
      </c>
    </row>
    <row r="35" spans="1:23" x14ac:dyDescent="0.45">
      <c r="A35" t="s">
        <v>23</v>
      </c>
      <c r="B35" t="s">
        <v>388</v>
      </c>
      <c r="C35" t="s">
        <v>89</v>
      </c>
      <c r="D35" s="1">
        <v>46001</v>
      </c>
      <c r="E35" t="s">
        <v>1994</v>
      </c>
      <c r="F35" t="s">
        <v>1995</v>
      </c>
      <c r="G35" t="s">
        <v>42</v>
      </c>
      <c r="H35" t="s">
        <v>1996</v>
      </c>
      <c r="I35" t="s">
        <v>1997</v>
      </c>
      <c r="J35" t="s">
        <v>31</v>
      </c>
      <c r="K35" t="s">
        <v>1998</v>
      </c>
      <c r="L35">
        <v>945117011</v>
      </c>
      <c r="M35" t="s">
        <v>33</v>
      </c>
      <c r="N35" t="s">
        <v>34</v>
      </c>
      <c r="O35" t="s">
        <v>58</v>
      </c>
      <c r="P35" t="s">
        <v>1942</v>
      </c>
      <c r="Q35">
        <v>50750026636</v>
      </c>
      <c r="R35" t="s">
        <v>37</v>
      </c>
      <c r="S35" t="s">
        <v>38</v>
      </c>
      <c r="T35" t="s">
        <v>89</v>
      </c>
      <c r="V35" s="1">
        <v>31387</v>
      </c>
      <c r="W35" s="5">
        <f ca="1">+(TODAY()-Tabla2[[#This Row],[FECHA DE NACIMIENTO]])/360</f>
        <v>40.87222222222222</v>
      </c>
    </row>
    <row r="36" spans="1:23" x14ac:dyDescent="0.45">
      <c r="A36" t="s">
        <v>23</v>
      </c>
      <c r="B36" t="s">
        <v>632</v>
      </c>
      <c r="C36" t="s">
        <v>633</v>
      </c>
      <c r="D36" s="1">
        <v>45964</v>
      </c>
      <c r="E36" t="s">
        <v>1866</v>
      </c>
      <c r="F36" t="s">
        <v>1867</v>
      </c>
      <c r="G36" t="s">
        <v>28</v>
      </c>
      <c r="H36" t="s">
        <v>69</v>
      </c>
      <c r="I36" t="s">
        <v>1868</v>
      </c>
      <c r="J36" t="s">
        <v>165</v>
      </c>
      <c r="K36" t="s">
        <v>1869</v>
      </c>
      <c r="L36">
        <v>972661955</v>
      </c>
      <c r="M36" t="s">
        <v>33</v>
      </c>
      <c r="N36" t="s">
        <v>34</v>
      </c>
      <c r="O36" t="s">
        <v>58</v>
      </c>
      <c r="P36" t="s">
        <v>66</v>
      </c>
      <c r="Q36">
        <v>161740160</v>
      </c>
      <c r="R36" t="s">
        <v>37</v>
      </c>
      <c r="S36" t="s">
        <v>137</v>
      </c>
      <c r="T36" t="s">
        <v>74</v>
      </c>
      <c r="V36" s="1">
        <v>31321</v>
      </c>
      <c r="W36" s="5">
        <f ca="1">+(TODAY()-Tabla2[[#This Row],[FECHA DE NACIMIENTO]])/360</f>
        <v>41.055555555555557</v>
      </c>
    </row>
    <row r="37" spans="1:23" x14ac:dyDescent="0.45">
      <c r="A37" t="s">
        <v>23</v>
      </c>
      <c r="B37" t="s">
        <v>659</v>
      </c>
      <c r="C37" t="s">
        <v>89</v>
      </c>
      <c r="D37" s="1">
        <v>46090</v>
      </c>
      <c r="E37" t="s">
        <v>2642</v>
      </c>
      <c r="F37" t="s">
        <v>2643</v>
      </c>
      <c r="I37" t="s">
        <v>2644</v>
      </c>
      <c r="J37" t="s">
        <v>54</v>
      </c>
      <c r="K37" t="s">
        <v>2645</v>
      </c>
      <c r="L37">
        <v>953089235</v>
      </c>
      <c r="M37" t="s">
        <v>33</v>
      </c>
      <c r="N37" t="s">
        <v>34</v>
      </c>
      <c r="O37" t="s">
        <v>58</v>
      </c>
      <c r="P37" t="s">
        <v>66</v>
      </c>
      <c r="Q37">
        <v>16006609</v>
      </c>
      <c r="R37" t="s">
        <v>60</v>
      </c>
      <c r="V37" s="1">
        <v>31183</v>
      </c>
      <c r="W37" s="5">
        <f ca="1">+(TODAY()-Tabla2[[#This Row],[FECHA DE NACIMIENTO]])/360</f>
        <v>41.43888888888889</v>
      </c>
    </row>
    <row r="38" spans="1:23" x14ac:dyDescent="0.45">
      <c r="A38" t="s">
        <v>23</v>
      </c>
      <c r="B38" t="s">
        <v>388</v>
      </c>
      <c r="C38" t="s">
        <v>89</v>
      </c>
      <c r="D38" s="1">
        <v>45964</v>
      </c>
      <c r="E38" t="s">
        <v>1900</v>
      </c>
      <c r="F38" t="s">
        <v>1901</v>
      </c>
      <c r="G38" t="s">
        <v>42</v>
      </c>
      <c r="H38" t="s">
        <v>239</v>
      </c>
      <c r="I38" t="s">
        <v>1902</v>
      </c>
      <c r="J38" t="s">
        <v>1255</v>
      </c>
      <c r="K38" t="s">
        <v>1903</v>
      </c>
      <c r="L38">
        <v>976356146</v>
      </c>
      <c r="M38" t="s">
        <v>56</v>
      </c>
      <c r="N38" t="s">
        <v>34</v>
      </c>
      <c r="O38" t="s">
        <v>35</v>
      </c>
      <c r="P38" t="s">
        <v>96</v>
      </c>
      <c r="Q38">
        <v>60966343</v>
      </c>
      <c r="R38" t="s">
        <v>60</v>
      </c>
      <c r="S38" t="s">
        <v>318</v>
      </c>
      <c r="T38" t="s">
        <v>39</v>
      </c>
      <c r="U38" s="1">
        <v>46022</v>
      </c>
      <c r="V38" s="1">
        <v>31136</v>
      </c>
      <c r="W38" s="5">
        <f ca="1">+(TODAY()-Tabla2[[#This Row],[FECHA DE NACIMIENTO]])/360</f>
        <v>41.569444444444443</v>
      </c>
    </row>
    <row r="39" spans="1:23" x14ac:dyDescent="0.45">
      <c r="A39" t="s">
        <v>23</v>
      </c>
      <c r="B39" t="s">
        <v>388</v>
      </c>
      <c r="C39" t="s">
        <v>89</v>
      </c>
      <c r="D39" s="1">
        <v>46090</v>
      </c>
      <c r="E39" t="s">
        <v>2650</v>
      </c>
      <c r="F39" t="s">
        <v>2651</v>
      </c>
      <c r="I39" t="s">
        <v>2652</v>
      </c>
      <c r="J39" t="s">
        <v>820</v>
      </c>
      <c r="K39" t="s">
        <v>2653</v>
      </c>
      <c r="L39">
        <v>56968227330</v>
      </c>
      <c r="M39" t="s">
        <v>56</v>
      </c>
      <c r="N39" t="s">
        <v>34</v>
      </c>
      <c r="O39" t="s">
        <v>58</v>
      </c>
      <c r="P39" t="s">
        <v>36</v>
      </c>
      <c r="Q39">
        <v>5617091997</v>
      </c>
      <c r="R39" t="s">
        <v>60</v>
      </c>
      <c r="V39" s="1">
        <v>30904</v>
      </c>
      <c r="W39" s="5">
        <f ca="1">+(TODAY()-Tabla2[[#This Row],[FECHA DE NACIMIENTO]])/360</f>
        <v>42.213888888888889</v>
      </c>
    </row>
    <row r="40" spans="1:23" x14ac:dyDescent="0.45">
      <c r="A40" t="s">
        <v>23</v>
      </c>
      <c r="B40" t="s">
        <v>632</v>
      </c>
      <c r="C40" t="s">
        <v>633</v>
      </c>
      <c r="D40" s="1">
        <v>46001</v>
      </c>
      <c r="E40" t="s">
        <v>1980</v>
      </c>
      <c r="F40" t="s">
        <v>1981</v>
      </c>
      <c r="G40" t="s">
        <v>28</v>
      </c>
      <c r="H40" t="s">
        <v>1982</v>
      </c>
      <c r="I40" t="s">
        <v>1983</v>
      </c>
      <c r="J40" t="s">
        <v>158</v>
      </c>
      <c r="K40" t="s">
        <v>1984</v>
      </c>
      <c r="L40">
        <v>950855373</v>
      </c>
      <c r="M40" t="s">
        <v>33</v>
      </c>
      <c r="N40" t="s">
        <v>57</v>
      </c>
      <c r="O40" t="s">
        <v>35</v>
      </c>
      <c r="P40" t="s">
        <v>48</v>
      </c>
      <c r="Q40">
        <v>1695128708</v>
      </c>
      <c r="R40" t="s">
        <v>37</v>
      </c>
      <c r="S40" t="s">
        <v>38</v>
      </c>
      <c r="T40" t="s">
        <v>74</v>
      </c>
      <c r="U40" s="1">
        <v>46022</v>
      </c>
      <c r="V40" s="1">
        <v>30577</v>
      </c>
      <c r="W40" s="5">
        <f ca="1">+(TODAY()-Tabla2[[#This Row],[FECHA DE NACIMIENTO]])/360</f>
        <v>43.12222222222222</v>
      </c>
    </row>
    <row r="41" spans="1:23" x14ac:dyDescent="0.45">
      <c r="A41" t="s">
        <v>23</v>
      </c>
      <c r="B41" t="s">
        <v>24</v>
      </c>
      <c r="C41" t="s">
        <v>25</v>
      </c>
      <c r="D41" s="1">
        <v>46090</v>
      </c>
      <c r="E41" t="s">
        <v>2663</v>
      </c>
      <c r="F41" t="s">
        <v>2664</v>
      </c>
      <c r="I41" t="s">
        <v>2665</v>
      </c>
      <c r="J41" t="s">
        <v>165</v>
      </c>
      <c r="K41" t="s">
        <v>2666</v>
      </c>
      <c r="L41">
        <v>958278990</v>
      </c>
      <c r="M41" t="s">
        <v>33</v>
      </c>
      <c r="N41" t="s">
        <v>34</v>
      </c>
      <c r="O41" t="s">
        <v>35</v>
      </c>
      <c r="P41" t="s">
        <v>130</v>
      </c>
      <c r="Q41">
        <v>988736309</v>
      </c>
      <c r="R41" t="s">
        <v>60</v>
      </c>
      <c r="V41" s="1">
        <v>30534</v>
      </c>
      <c r="W41" s="5">
        <f ca="1">+(TODAY()-Tabla2[[#This Row],[FECHA DE NACIMIENTO]])/360</f>
        <v>43.241666666666667</v>
      </c>
    </row>
    <row r="42" spans="1:23" x14ac:dyDescent="0.45">
      <c r="A42" t="s">
        <v>645</v>
      </c>
      <c r="B42" t="s">
        <v>666</v>
      </c>
      <c r="C42" t="s">
        <v>89</v>
      </c>
      <c r="D42" s="1">
        <v>46006</v>
      </c>
      <c r="E42" t="s">
        <v>2032</v>
      </c>
      <c r="F42" t="s">
        <v>2033</v>
      </c>
      <c r="G42" t="s">
        <v>28</v>
      </c>
      <c r="H42" t="s">
        <v>2034</v>
      </c>
      <c r="I42" t="s">
        <v>2035</v>
      </c>
      <c r="J42" t="s">
        <v>165</v>
      </c>
      <c r="K42" t="s">
        <v>2036</v>
      </c>
      <c r="L42">
        <v>977668563</v>
      </c>
      <c r="M42" t="s">
        <v>56</v>
      </c>
      <c r="N42" t="s">
        <v>34</v>
      </c>
      <c r="O42" t="s">
        <v>35</v>
      </c>
      <c r="P42" t="s">
        <v>36</v>
      </c>
      <c r="Q42">
        <v>6315046</v>
      </c>
      <c r="R42" t="s">
        <v>37</v>
      </c>
      <c r="S42" t="s">
        <v>137</v>
      </c>
      <c r="T42" t="s">
        <v>39</v>
      </c>
      <c r="V42" s="1">
        <v>30323</v>
      </c>
      <c r="W42" s="5">
        <f ca="1">+(TODAY()-Tabla2[[#This Row],[FECHA DE NACIMIENTO]])/360</f>
        <v>43.827777777777776</v>
      </c>
    </row>
    <row r="43" spans="1:23" x14ac:dyDescent="0.45">
      <c r="A43" t="s">
        <v>23</v>
      </c>
      <c r="B43" t="s">
        <v>777</v>
      </c>
      <c r="C43" t="s">
        <v>89</v>
      </c>
      <c r="D43" s="1">
        <v>45964</v>
      </c>
      <c r="E43" t="s">
        <v>1909</v>
      </c>
      <c r="F43" t="s">
        <v>1910</v>
      </c>
      <c r="G43" t="s">
        <v>42</v>
      </c>
      <c r="H43" t="s">
        <v>146</v>
      </c>
      <c r="I43" t="s">
        <v>1911</v>
      </c>
      <c r="J43" t="s">
        <v>142</v>
      </c>
      <c r="K43" t="s">
        <v>1912</v>
      </c>
      <c r="L43">
        <v>56931833602</v>
      </c>
      <c r="M43" t="s">
        <v>56</v>
      </c>
      <c r="N43" t="s">
        <v>34</v>
      </c>
      <c r="O43" t="s">
        <v>58</v>
      </c>
      <c r="P43" t="s">
        <v>66</v>
      </c>
      <c r="Q43">
        <v>15510038</v>
      </c>
      <c r="R43" t="s">
        <v>60</v>
      </c>
      <c r="S43" t="s">
        <v>38</v>
      </c>
      <c r="T43" t="s">
        <v>89</v>
      </c>
      <c r="U43" s="1">
        <v>45991</v>
      </c>
      <c r="V43" s="1">
        <v>30288</v>
      </c>
      <c r="W43" s="5">
        <f ca="1">+(TODAY()-Tabla2[[#This Row],[FECHA DE NACIMIENTO]])/360</f>
        <v>43.924999999999997</v>
      </c>
    </row>
    <row r="44" spans="1:23" x14ac:dyDescent="0.45">
      <c r="A44" t="s">
        <v>23</v>
      </c>
      <c r="B44" t="s">
        <v>777</v>
      </c>
      <c r="C44" t="s">
        <v>89</v>
      </c>
      <c r="D44" s="1">
        <v>45971</v>
      </c>
      <c r="E44" t="s">
        <v>1943</v>
      </c>
      <c r="F44" t="s">
        <v>1944</v>
      </c>
      <c r="G44" t="s">
        <v>28</v>
      </c>
      <c r="H44" t="s">
        <v>1945</v>
      </c>
      <c r="I44" t="s">
        <v>1946</v>
      </c>
      <c r="J44" t="s">
        <v>165</v>
      </c>
      <c r="K44" t="s">
        <v>1947</v>
      </c>
      <c r="L44">
        <v>951133500</v>
      </c>
      <c r="M44" t="s">
        <v>56</v>
      </c>
      <c r="N44" t="s">
        <v>34</v>
      </c>
      <c r="O44" t="s">
        <v>58</v>
      </c>
      <c r="P44" t="s">
        <v>66</v>
      </c>
      <c r="Q44">
        <v>14413170</v>
      </c>
      <c r="R44" t="s">
        <v>60</v>
      </c>
      <c r="S44" t="s">
        <v>38</v>
      </c>
      <c r="T44" t="s">
        <v>89</v>
      </c>
      <c r="V44" s="1">
        <v>29911</v>
      </c>
      <c r="W44" s="5">
        <f ca="1">+(TODAY()-Tabla2[[#This Row],[FECHA DE NACIMIENTO]])/360</f>
        <v>44.972222222222221</v>
      </c>
    </row>
    <row r="45" spans="1:23" x14ac:dyDescent="0.45">
      <c r="A45" t="s">
        <v>23</v>
      </c>
      <c r="B45" t="s">
        <v>652</v>
      </c>
      <c r="C45" t="s">
        <v>89</v>
      </c>
      <c r="D45" s="1">
        <v>46006</v>
      </c>
      <c r="E45" t="s">
        <v>2075</v>
      </c>
      <c r="F45" t="s">
        <v>2076</v>
      </c>
      <c r="G45" t="s">
        <v>42</v>
      </c>
      <c r="H45" t="s">
        <v>2077</v>
      </c>
      <c r="I45" t="s">
        <v>2078</v>
      </c>
      <c r="J45" t="s">
        <v>158</v>
      </c>
      <c r="K45" t="s">
        <v>2079</v>
      </c>
      <c r="L45">
        <v>995953547</v>
      </c>
      <c r="M45" t="s">
        <v>33</v>
      </c>
      <c r="N45" t="s">
        <v>988</v>
      </c>
      <c r="O45" t="s">
        <v>58</v>
      </c>
      <c r="P45" t="s">
        <v>17</v>
      </c>
      <c r="Q45">
        <v>28170052</v>
      </c>
      <c r="R45" t="s">
        <v>37</v>
      </c>
      <c r="S45" t="s">
        <v>137</v>
      </c>
      <c r="T45" t="s">
        <v>39</v>
      </c>
      <c r="V45" s="1">
        <v>29879</v>
      </c>
      <c r="W45" s="5">
        <f ca="1">+(TODAY()-Tabla2[[#This Row],[FECHA DE NACIMIENTO]])/360</f>
        <v>45.06111111111111</v>
      </c>
    </row>
    <row r="46" spans="1:23" x14ac:dyDescent="0.45">
      <c r="A46" t="s">
        <v>23</v>
      </c>
      <c r="B46" t="s">
        <v>632</v>
      </c>
      <c r="C46" t="s">
        <v>633</v>
      </c>
      <c r="D46" s="1">
        <v>45964</v>
      </c>
      <c r="E46" t="s">
        <v>1863</v>
      </c>
      <c r="F46" t="s">
        <v>1864</v>
      </c>
      <c r="G46" t="s">
        <v>42</v>
      </c>
      <c r="H46" t="s">
        <v>995</v>
      </c>
      <c r="I46" t="s">
        <v>1843</v>
      </c>
      <c r="J46" t="s">
        <v>393</v>
      </c>
      <c r="K46" t="s">
        <v>1865</v>
      </c>
      <c r="L46">
        <v>977005569</v>
      </c>
      <c r="M46" t="s">
        <v>56</v>
      </c>
      <c r="N46" t="s">
        <v>34</v>
      </c>
      <c r="O46" t="s">
        <v>58</v>
      </c>
      <c r="P46" t="s">
        <v>66</v>
      </c>
      <c r="Q46">
        <v>143635597</v>
      </c>
      <c r="R46" t="s">
        <v>37</v>
      </c>
      <c r="S46" t="s">
        <v>318</v>
      </c>
      <c r="T46" t="s">
        <v>39</v>
      </c>
      <c r="V46" s="1">
        <v>29684</v>
      </c>
      <c r="W46" s="5">
        <f ca="1">+(TODAY()-Tabla2[[#This Row],[FECHA DE NACIMIENTO]])/360</f>
        <v>45.602777777777774</v>
      </c>
    </row>
    <row r="47" spans="1:23" x14ac:dyDescent="0.45">
      <c r="A47" t="s">
        <v>23</v>
      </c>
      <c r="B47" t="s">
        <v>131</v>
      </c>
      <c r="C47" t="s">
        <v>89</v>
      </c>
      <c r="D47" s="1">
        <v>46069</v>
      </c>
      <c r="E47" t="s">
        <v>2604</v>
      </c>
      <c r="F47" t="s">
        <v>2605</v>
      </c>
      <c r="G47" t="s">
        <v>28</v>
      </c>
      <c r="H47" t="s">
        <v>2606</v>
      </c>
      <c r="I47" t="s">
        <v>2607</v>
      </c>
      <c r="J47" t="s">
        <v>278</v>
      </c>
      <c r="K47" t="s">
        <v>2608</v>
      </c>
      <c r="L47">
        <v>948920968</v>
      </c>
      <c r="M47" t="s">
        <v>33</v>
      </c>
      <c r="N47" t="s">
        <v>2225</v>
      </c>
      <c r="O47" t="s">
        <v>35</v>
      </c>
      <c r="P47" t="s">
        <v>36</v>
      </c>
      <c r="Q47">
        <v>81583706</v>
      </c>
      <c r="R47" t="s">
        <v>60</v>
      </c>
      <c r="V47" s="1">
        <v>29247</v>
      </c>
      <c r="W47" s="5">
        <f ca="1">+(TODAY()-Tabla2[[#This Row],[FECHA DE NACIMIENTO]])/360</f>
        <v>46.81666666666667</v>
      </c>
    </row>
    <row r="48" spans="1:23" x14ac:dyDescent="0.45">
      <c r="A48" t="s">
        <v>23</v>
      </c>
      <c r="B48" t="s">
        <v>388</v>
      </c>
      <c r="C48" t="s">
        <v>89</v>
      </c>
      <c r="D48" s="1">
        <v>46090</v>
      </c>
      <c r="E48" t="s">
        <v>2697</v>
      </c>
      <c r="F48" t="s">
        <v>2698</v>
      </c>
      <c r="I48" t="s">
        <v>2699</v>
      </c>
      <c r="J48" t="s">
        <v>142</v>
      </c>
      <c r="K48" t="s">
        <v>2700</v>
      </c>
      <c r="L48">
        <v>936904891</v>
      </c>
      <c r="M48" t="s">
        <v>33</v>
      </c>
      <c r="N48" t="s">
        <v>34</v>
      </c>
      <c r="O48" t="s">
        <v>58</v>
      </c>
      <c r="P48" t="s">
        <v>2701</v>
      </c>
      <c r="Q48">
        <v>777013696856</v>
      </c>
      <c r="R48" t="s">
        <v>60</v>
      </c>
      <c r="V48" s="1">
        <v>29162</v>
      </c>
      <c r="W48" s="5">
        <f ca="1">+(TODAY()-Tabla2[[#This Row],[FECHA DE NACIMIENTO]])/360</f>
        <v>47.052777777777777</v>
      </c>
    </row>
    <row r="49" spans="1:23" x14ac:dyDescent="0.45">
      <c r="A49" t="s">
        <v>23</v>
      </c>
      <c r="B49" t="s">
        <v>24</v>
      </c>
      <c r="C49" t="s">
        <v>25</v>
      </c>
      <c r="D49" s="1">
        <v>46090</v>
      </c>
      <c r="E49" t="s">
        <v>2677</v>
      </c>
      <c r="F49" t="s">
        <v>2678</v>
      </c>
      <c r="I49" t="s">
        <v>2679</v>
      </c>
      <c r="J49" t="s">
        <v>215</v>
      </c>
      <c r="K49" t="s">
        <v>2680</v>
      </c>
      <c r="L49">
        <v>964673038</v>
      </c>
      <c r="M49" t="s">
        <v>33</v>
      </c>
      <c r="N49" t="s">
        <v>2681</v>
      </c>
      <c r="O49" t="s">
        <v>35</v>
      </c>
      <c r="P49" t="s">
        <v>96</v>
      </c>
      <c r="Q49">
        <v>97063541</v>
      </c>
      <c r="R49" t="s">
        <v>60</v>
      </c>
      <c r="V49" s="1">
        <v>29111</v>
      </c>
      <c r="W49" s="5">
        <f ca="1">+(TODAY()-Tabla2[[#This Row],[FECHA DE NACIMIENTO]])/360</f>
        <v>47.194444444444443</v>
      </c>
    </row>
    <row r="50" spans="1:23" x14ac:dyDescent="0.45">
      <c r="A50" t="s">
        <v>23</v>
      </c>
      <c r="B50" t="s">
        <v>646</v>
      </c>
      <c r="C50" t="s">
        <v>89</v>
      </c>
      <c r="D50" s="1">
        <v>46001</v>
      </c>
      <c r="E50" t="s">
        <v>1976</v>
      </c>
      <c r="F50" t="s">
        <v>1977</v>
      </c>
      <c r="G50" t="s">
        <v>42</v>
      </c>
      <c r="H50" t="s">
        <v>1847</v>
      </c>
      <c r="I50" t="s">
        <v>1978</v>
      </c>
      <c r="J50" t="s">
        <v>834</v>
      </c>
      <c r="K50" t="s">
        <v>1979</v>
      </c>
      <c r="L50">
        <v>986955115</v>
      </c>
      <c r="M50" t="s">
        <v>81</v>
      </c>
      <c r="N50" t="s">
        <v>34</v>
      </c>
      <c r="O50" t="s">
        <v>35</v>
      </c>
      <c r="P50" t="s">
        <v>1942</v>
      </c>
      <c r="Q50">
        <v>19993410655</v>
      </c>
      <c r="R50" t="s">
        <v>37</v>
      </c>
      <c r="S50" t="s">
        <v>38</v>
      </c>
      <c r="T50" t="s">
        <v>89</v>
      </c>
      <c r="V50" s="1">
        <v>28795</v>
      </c>
      <c r="W50" s="5">
        <f ca="1">+(TODAY()-Tabla2[[#This Row],[FECHA DE NACIMIENTO]])/360</f>
        <v>48.072222222222223</v>
      </c>
    </row>
    <row r="51" spans="1:23" x14ac:dyDescent="0.45">
      <c r="A51" t="s">
        <v>23</v>
      </c>
      <c r="B51" t="s">
        <v>659</v>
      </c>
      <c r="C51" t="s">
        <v>89</v>
      </c>
      <c r="D51" s="1">
        <v>46090</v>
      </c>
      <c r="E51" t="s">
        <v>2688</v>
      </c>
      <c r="F51" t="s">
        <v>2689</v>
      </c>
      <c r="I51" t="s">
        <v>2690</v>
      </c>
      <c r="J51" t="s">
        <v>316</v>
      </c>
      <c r="K51" t="s">
        <v>2691</v>
      </c>
      <c r="L51">
        <v>930202685</v>
      </c>
      <c r="M51" t="s">
        <v>81</v>
      </c>
      <c r="N51" t="s">
        <v>34</v>
      </c>
      <c r="O51" t="s">
        <v>58</v>
      </c>
      <c r="P51" t="s">
        <v>96</v>
      </c>
      <c r="Q51">
        <v>67863817</v>
      </c>
      <c r="R51" t="s">
        <v>60</v>
      </c>
      <c r="V51" s="1">
        <v>28626</v>
      </c>
      <c r="W51" s="5">
        <f ca="1">+(TODAY()-Tabla2[[#This Row],[FECHA DE NACIMIENTO]])/360</f>
        <v>48.541666666666664</v>
      </c>
    </row>
    <row r="52" spans="1:23" x14ac:dyDescent="0.45">
      <c r="A52" t="s">
        <v>23</v>
      </c>
      <c r="B52" t="s">
        <v>646</v>
      </c>
      <c r="C52" t="s">
        <v>89</v>
      </c>
      <c r="D52" s="1">
        <v>46006</v>
      </c>
      <c r="E52" t="s">
        <v>2055</v>
      </c>
      <c r="F52" t="s">
        <v>2056</v>
      </c>
      <c r="G52" t="s">
        <v>28</v>
      </c>
      <c r="H52" t="s">
        <v>2057</v>
      </c>
      <c r="I52" t="s">
        <v>2058</v>
      </c>
      <c r="J52" t="s">
        <v>643</v>
      </c>
      <c r="K52" t="s">
        <v>2059</v>
      </c>
      <c r="L52">
        <v>977413424</v>
      </c>
      <c r="M52" t="s">
        <v>33</v>
      </c>
      <c r="N52" t="s">
        <v>34</v>
      </c>
      <c r="O52" t="s">
        <v>58</v>
      </c>
      <c r="P52" t="s">
        <v>48</v>
      </c>
      <c r="Q52">
        <v>13416292</v>
      </c>
      <c r="R52" t="s">
        <v>37</v>
      </c>
      <c r="S52" t="s">
        <v>137</v>
      </c>
      <c r="T52" t="s">
        <v>39</v>
      </c>
      <c r="V52" s="1">
        <v>28313</v>
      </c>
      <c r="W52" s="5">
        <f ca="1">+(TODAY()-Tabla2[[#This Row],[FECHA DE NACIMIENTO]])/360</f>
        <v>49.411111111111111</v>
      </c>
    </row>
    <row r="53" spans="1:23" x14ac:dyDescent="0.45">
      <c r="A53" t="s">
        <v>23</v>
      </c>
      <c r="B53" t="s">
        <v>659</v>
      </c>
      <c r="C53" t="s">
        <v>89</v>
      </c>
      <c r="D53" s="1">
        <v>45971</v>
      </c>
      <c r="E53" t="s">
        <v>1919</v>
      </c>
      <c r="F53" t="s">
        <v>1920</v>
      </c>
      <c r="G53" t="s">
        <v>28</v>
      </c>
      <c r="H53" t="s">
        <v>69</v>
      </c>
      <c r="I53" t="s">
        <v>1921</v>
      </c>
      <c r="J53" t="s">
        <v>54</v>
      </c>
      <c r="K53" t="s">
        <v>1922</v>
      </c>
      <c r="L53">
        <v>929761431</v>
      </c>
      <c r="M53" t="s">
        <v>81</v>
      </c>
      <c r="N53" t="s">
        <v>34</v>
      </c>
      <c r="O53" t="s">
        <v>58</v>
      </c>
      <c r="P53" t="s">
        <v>17</v>
      </c>
      <c r="Q53">
        <v>13119496</v>
      </c>
      <c r="R53" t="s">
        <v>37</v>
      </c>
      <c r="S53" t="s">
        <v>38</v>
      </c>
      <c r="T53" t="s">
        <v>39</v>
      </c>
      <c r="U53" s="1">
        <v>46022</v>
      </c>
      <c r="V53" s="1">
        <v>27972</v>
      </c>
      <c r="W53" s="5">
        <f ca="1">+(TODAY()-Tabla2[[#This Row],[FECHA DE NACIMIENTO]])/360</f>
        <v>50.358333333333334</v>
      </c>
    </row>
    <row r="54" spans="1:23" x14ac:dyDescent="0.45">
      <c r="A54" t="s">
        <v>23</v>
      </c>
      <c r="B54" t="s">
        <v>659</v>
      </c>
      <c r="C54" t="s">
        <v>89</v>
      </c>
      <c r="D54" s="1">
        <v>45964</v>
      </c>
      <c r="E54" t="s">
        <v>1880</v>
      </c>
      <c r="F54" t="s">
        <v>1881</v>
      </c>
      <c r="G54" t="s">
        <v>42</v>
      </c>
      <c r="H54" t="s">
        <v>520</v>
      </c>
      <c r="I54" t="s">
        <v>1882</v>
      </c>
      <c r="J54" t="s">
        <v>370</v>
      </c>
      <c r="K54" t="s">
        <v>1883</v>
      </c>
      <c r="L54">
        <v>959416911</v>
      </c>
      <c r="M54" t="s">
        <v>81</v>
      </c>
      <c r="N54" t="s">
        <v>34</v>
      </c>
      <c r="O54" t="s">
        <v>58</v>
      </c>
      <c r="P54" t="s">
        <v>66</v>
      </c>
      <c r="Q54">
        <v>12774636</v>
      </c>
      <c r="R54" t="s">
        <v>60</v>
      </c>
      <c r="S54" t="s">
        <v>38</v>
      </c>
      <c r="T54" t="s">
        <v>39</v>
      </c>
      <c r="V54" s="1">
        <v>27423</v>
      </c>
      <c r="W54" s="5">
        <f ca="1">+(TODAY()-Tabla2[[#This Row],[FECHA DE NACIMIENTO]])/360</f>
        <v>51.883333333333333</v>
      </c>
    </row>
    <row r="55" spans="1:23" x14ac:dyDescent="0.45">
      <c r="A55" t="s">
        <v>23</v>
      </c>
      <c r="B55" t="s">
        <v>659</v>
      </c>
      <c r="C55" t="s">
        <v>89</v>
      </c>
      <c r="D55" s="1">
        <v>45964</v>
      </c>
      <c r="E55" t="s">
        <v>1889</v>
      </c>
      <c r="F55" t="s">
        <v>1890</v>
      </c>
      <c r="G55" t="s">
        <v>42</v>
      </c>
      <c r="H55" t="s">
        <v>1891</v>
      </c>
      <c r="I55" t="s">
        <v>1892</v>
      </c>
      <c r="J55" t="s">
        <v>393</v>
      </c>
      <c r="K55" t="s">
        <v>1893</v>
      </c>
      <c r="L55">
        <v>56990535578</v>
      </c>
      <c r="M55" t="s">
        <v>33</v>
      </c>
      <c r="N55" t="s">
        <v>34</v>
      </c>
      <c r="O55" t="s">
        <v>58</v>
      </c>
      <c r="P55" t="s">
        <v>1894</v>
      </c>
      <c r="Q55">
        <v>405318358</v>
      </c>
      <c r="R55" t="s">
        <v>60</v>
      </c>
      <c r="S55" t="s">
        <v>38</v>
      </c>
      <c r="T55" t="s">
        <v>39</v>
      </c>
      <c r="V55" s="1">
        <v>27159</v>
      </c>
      <c r="W55" s="5">
        <f ca="1">+(TODAY()-Tabla2[[#This Row],[FECHA DE NACIMIENTO]])/360</f>
        <v>52.616666666666667</v>
      </c>
    </row>
    <row r="56" spans="1:23" x14ac:dyDescent="0.45">
      <c r="A56" t="s">
        <v>23</v>
      </c>
      <c r="B56" t="s">
        <v>388</v>
      </c>
      <c r="C56" t="s">
        <v>89</v>
      </c>
      <c r="D56" s="1">
        <v>45964</v>
      </c>
      <c r="E56" t="s">
        <v>1884</v>
      </c>
      <c r="F56" t="s">
        <v>1885</v>
      </c>
      <c r="G56" t="s">
        <v>42</v>
      </c>
      <c r="H56" t="s">
        <v>1886</v>
      </c>
      <c r="I56" t="s">
        <v>1887</v>
      </c>
      <c r="J56" t="s">
        <v>204</v>
      </c>
      <c r="K56" t="s">
        <v>1888</v>
      </c>
      <c r="L56">
        <v>926017495</v>
      </c>
      <c r="M56" t="s">
        <v>56</v>
      </c>
      <c r="N56" t="s">
        <v>34</v>
      </c>
      <c r="O56" t="s">
        <v>35</v>
      </c>
      <c r="P56" t="s">
        <v>36</v>
      </c>
      <c r="Q56">
        <v>77065237</v>
      </c>
      <c r="R56" t="s">
        <v>60</v>
      </c>
      <c r="S56" t="s">
        <v>38</v>
      </c>
      <c r="T56" t="s">
        <v>39</v>
      </c>
      <c r="V56" s="1">
        <v>26442</v>
      </c>
      <c r="W56" s="5">
        <f ca="1">+(TODAY()-Tabla2[[#This Row],[FECHA DE NACIMIENTO]])/360</f>
        <v>54.608333333333334</v>
      </c>
    </row>
    <row r="57" spans="1:23" x14ac:dyDescent="0.45">
      <c r="A57" t="s">
        <v>23</v>
      </c>
      <c r="B57" t="s">
        <v>1797</v>
      </c>
      <c r="C57" t="s">
        <v>89</v>
      </c>
      <c r="D57" s="1">
        <v>46006</v>
      </c>
      <c r="E57" t="s">
        <v>2041</v>
      </c>
      <c r="F57" t="s">
        <v>2042</v>
      </c>
      <c r="G57" t="s">
        <v>42</v>
      </c>
      <c r="H57" t="s">
        <v>2043</v>
      </c>
      <c r="I57" t="s">
        <v>2044</v>
      </c>
      <c r="J57" t="s">
        <v>94</v>
      </c>
      <c r="K57" t="s">
        <v>2045</v>
      </c>
      <c r="L57">
        <v>949810775</v>
      </c>
      <c r="M57" t="s">
        <v>56</v>
      </c>
      <c r="N57" t="s">
        <v>34</v>
      </c>
      <c r="O57" t="s">
        <v>35</v>
      </c>
      <c r="P57" t="s">
        <v>130</v>
      </c>
      <c r="Q57">
        <v>985633862</v>
      </c>
      <c r="R57" t="s">
        <v>37</v>
      </c>
      <c r="S57" t="s">
        <v>38</v>
      </c>
      <c r="T57" t="s">
        <v>39</v>
      </c>
      <c r="V57" s="1">
        <v>25979</v>
      </c>
      <c r="W57" s="5">
        <f ca="1">+(TODAY()-Tabla2[[#This Row],[FECHA DE NACIMIENTO]])/360</f>
        <v>55.894444444444446</v>
      </c>
    </row>
    <row r="58" spans="1:23" x14ac:dyDescent="0.45">
      <c r="A58" t="s">
        <v>23</v>
      </c>
      <c r="B58" t="s">
        <v>24</v>
      </c>
      <c r="C58" t="s">
        <v>25</v>
      </c>
      <c r="D58" s="1">
        <v>46090</v>
      </c>
      <c r="E58" t="s">
        <v>2667</v>
      </c>
      <c r="F58" t="s">
        <v>2668</v>
      </c>
      <c r="I58" t="s">
        <v>2669</v>
      </c>
      <c r="J58" t="s">
        <v>2670</v>
      </c>
      <c r="K58" t="s">
        <v>2671</v>
      </c>
      <c r="L58">
        <v>946295528</v>
      </c>
      <c r="M58" t="s">
        <v>56</v>
      </c>
      <c r="N58" t="s">
        <v>34</v>
      </c>
      <c r="O58" t="s">
        <v>35</v>
      </c>
      <c r="P58" t="s">
        <v>1942</v>
      </c>
      <c r="Q58">
        <v>19800140587</v>
      </c>
      <c r="R58" t="s">
        <v>60</v>
      </c>
      <c r="V58" s="1">
        <v>25717</v>
      </c>
      <c r="W58" s="5">
        <f ca="1">+(TODAY()-Tabla2[[#This Row],[FECHA DE NACIMIENTO]])/360</f>
        <v>56.62222222222222</v>
      </c>
    </row>
    <row r="59" spans="1:23" x14ac:dyDescent="0.45">
      <c r="A59" t="s">
        <v>23</v>
      </c>
      <c r="B59" t="s">
        <v>1532</v>
      </c>
      <c r="C59" t="s">
        <v>89</v>
      </c>
      <c r="D59" s="1">
        <v>45971</v>
      </c>
      <c r="E59" t="s">
        <v>1938</v>
      </c>
      <c r="F59" t="s">
        <v>1939</v>
      </c>
      <c r="G59" t="s">
        <v>42</v>
      </c>
      <c r="H59" t="s">
        <v>1038</v>
      </c>
      <c r="I59" t="s">
        <v>1940</v>
      </c>
      <c r="J59" t="s">
        <v>204</v>
      </c>
      <c r="K59" t="s">
        <v>1941</v>
      </c>
      <c r="L59">
        <v>963692840</v>
      </c>
      <c r="M59" t="s">
        <v>33</v>
      </c>
      <c r="N59" t="s">
        <v>34</v>
      </c>
      <c r="O59" t="s">
        <v>35</v>
      </c>
      <c r="P59" t="s">
        <v>1942</v>
      </c>
      <c r="Q59">
        <v>1983151203</v>
      </c>
      <c r="R59" t="s">
        <v>37</v>
      </c>
      <c r="S59" t="s">
        <v>38</v>
      </c>
      <c r="T59" t="s">
        <v>74</v>
      </c>
      <c r="V59" s="1">
        <v>25542</v>
      </c>
      <c r="W59" s="5">
        <f ca="1">+(TODAY()-Tabla2[[#This Row],[FECHA DE NACIMIENTO]])/360</f>
        <v>57.108333333333334</v>
      </c>
    </row>
    <row r="60" spans="1:23" x14ac:dyDescent="0.45">
      <c r="A60" t="s">
        <v>23</v>
      </c>
      <c r="B60" t="s">
        <v>777</v>
      </c>
      <c r="C60" t="s">
        <v>89</v>
      </c>
      <c r="D60" s="1">
        <v>46006</v>
      </c>
      <c r="E60" t="s">
        <v>2051</v>
      </c>
      <c r="F60" t="s">
        <v>2052</v>
      </c>
      <c r="G60" t="s">
        <v>42</v>
      </c>
      <c r="H60" t="s">
        <v>1285</v>
      </c>
      <c r="I60" t="s">
        <v>2053</v>
      </c>
      <c r="J60" t="s">
        <v>165</v>
      </c>
      <c r="K60" t="s">
        <v>2054</v>
      </c>
      <c r="L60">
        <v>56957634160</v>
      </c>
      <c r="M60" t="s">
        <v>33</v>
      </c>
      <c r="N60" t="s">
        <v>34</v>
      </c>
      <c r="O60" t="s">
        <v>58</v>
      </c>
      <c r="P60" t="s">
        <v>17</v>
      </c>
      <c r="Q60">
        <v>10201671</v>
      </c>
      <c r="R60" t="s">
        <v>37</v>
      </c>
      <c r="S60" t="s">
        <v>537</v>
      </c>
      <c r="T60" t="s">
        <v>39</v>
      </c>
      <c r="V60" s="1">
        <v>25221</v>
      </c>
      <c r="W60" s="5">
        <f ca="1">+(TODAY()-Tabla2[[#This Row],[FECHA DE NACIMIENTO]])/360</f>
        <v>58</v>
      </c>
    </row>
    <row r="61" spans="1:23" x14ac:dyDescent="0.45">
      <c r="A61" t="s">
        <v>23</v>
      </c>
      <c r="B61" t="s">
        <v>632</v>
      </c>
      <c r="C61" t="s">
        <v>633</v>
      </c>
      <c r="D61" s="1">
        <v>45964</v>
      </c>
      <c r="E61" t="s">
        <v>1895</v>
      </c>
      <c r="F61" t="s">
        <v>1896</v>
      </c>
      <c r="G61" t="s">
        <v>42</v>
      </c>
      <c r="H61" t="s">
        <v>1285</v>
      </c>
      <c r="I61" t="s">
        <v>1897</v>
      </c>
      <c r="J61" t="s">
        <v>834</v>
      </c>
      <c r="K61" t="s">
        <v>1898</v>
      </c>
      <c r="L61">
        <v>959635921</v>
      </c>
      <c r="M61" t="s">
        <v>33</v>
      </c>
      <c r="N61" t="s">
        <v>57</v>
      </c>
      <c r="O61" t="s">
        <v>58</v>
      </c>
      <c r="P61" t="s">
        <v>1899</v>
      </c>
      <c r="Q61">
        <v>263251148</v>
      </c>
      <c r="R61" t="s">
        <v>37</v>
      </c>
      <c r="S61" t="s">
        <v>38</v>
      </c>
      <c r="T61" t="s">
        <v>89</v>
      </c>
      <c r="V61" s="1">
        <v>25217</v>
      </c>
      <c r="W61" s="5">
        <f ca="1">+(TODAY()-Tabla2[[#This Row],[FECHA DE NACIMIENTO]])/360</f>
        <v>58.011111111111113</v>
      </c>
    </row>
    <row r="62" spans="1:23" x14ac:dyDescent="0.45">
      <c r="A62" t="s">
        <v>23</v>
      </c>
      <c r="B62" t="s">
        <v>659</v>
      </c>
      <c r="C62" t="s">
        <v>89</v>
      </c>
      <c r="D62" s="1">
        <v>45971</v>
      </c>
      <c r="E62" t="s">
        <v>1948</v>
      </c>
      <c r="F62" t="s">
        <v>1949</v>
      </c>
      <c r="G62" t="s">
        <v>28</v>
      </c>
      <c r="H62" t="s">
        <v>1950</v>
      </c>
      <c r="I62" t="s">
        <v>1951</v>
      </c>
      <c r="J62" t="s">
        <v>436</v>
      </c>
      <c r="K62" t="s">
        <v>1952</v>
      </c>
      <c r="L62">
        <v>56950094348</v>
      </c>
      <c r="M62" t="s">
        <v>56</v>
      </c>
      <c r="N62" t="s">
        <v>57</v>
      </c>
      <c r="O62" t="s">
        <v>58</v>
      </c>
      <c r="P62" t="s">
        <v>17</v>
      </c>
      <c r="Q62">
        <v>26663112</v>
      </c>
      <c r="R62" t="s">
        <v>37</v>
      </c>
      <c r="S62" t="s">
        <v>38</v>
      </c>
      <c r="T62" t="s">
        <v>89</v>
      </c>
      <c r="U62" s="1">
        <v>45991</v>
      </c>
      <c r="V62" s="1">
        <v>24842</v>
      </c>
      <c r="W62" s="5">
        <f ca="1">+(TODAY()-Tabla2[[#This Row],[FECHA DE NACIMIENTO]])/360</f>
        <v>59.052777777777777</v>
      </c>
    </row>
    <row r="63" spans="1:23" x14ac:dyDescent="0.45">
      <c r="A63" t="s">
        <v>645</v>
      </c>
      <c r="B63" t="s">
        <v>694</v>
      </c>
      <c r="C63" t="s">
        <v>89</v>
      </c>
      <c r="D63" s="1">
        <v>46006</v>
      </c>
      <c r="E63" t="s">
        <v>2065</v>
      </c>
      <c r="F63" t="s">
        <v>2066</v>
      </c>
      <c r="G63" t="s">
        <v>28</v>
      </c>
      <c r="H63" t="s">
        <v>2067</v>
      </c>
      <c r="I63" t="s">
        <v>2068</v>
      </c>
      <c r="J63" t="s">
        <v>516</v>
      </c>
      <c r="K63" t="s">
        <v>2069</v>
      </c>
      <c r="L63">
        <v>984925444</v>
      </c>
      <c r="M63" t="s">
        <v>56</v>
      </c>
      <c r="N63" t="s">
        <v>34</v>
      </c>
      <c r="O63" t="s">
        <v>35</v>
      </c>
      <c r="P63" t="s">
        <v>36</v>
      </c>
      <c r="Q63">
        <v>96632738</v>
      </c>
      <c r="R63" t="s">
        <v>37</v>
      </c>
      <c r="S63" t="s">
        <v>137</v>
      </c>
      <c r="T63" t="s">
        <v>74</v>
      </c>
      <c r="V63" s="1">
        <v>22848</v>
      </c>
      <c r="W63" s="5">
        <f ca="1">+(TODAY()-Tabla2[[#This Row],[FECHA DE NACIMIENTO]])/360</f>
        <v>64.591666666666669</v>
      </c>
    </row>
    <row r="64" spans="1:23" x14ac:dyDescent="0.45">
      <c r="A64" t="s">
        <v>23</v>
      </c>
      <c r="B64" t="s">
        <v>659</v>
      </c>
      <c r="C64" t="s">
        <v>89</v>
      </c>
      <c r="D64" s="1">
        <v>46090</v>
      </c>
      <c r="E64" t="s">
        <v>2702</v>
      </c>
      <c r="F64" t="s">
        <v>2703</v>
      </c>
      <c r="I64" t="s">
        <v>2704</v>
      </c>
      <c r="J64" t="s">
        <v>54</v>
      </c>
      <c r="K64" t="s">
        <v>2705</v>
      </c>
      <c r="L64">
        <v>932405178</v>
      </c>
      <c r="M64" t="s">
        <v>81</v>
      </c>
      <c r="N64" t="s">
        <v>34</v>
      </c>
      <c r="O64" t="s">
        <v>35</v>
      </c>
      <c r="P64" t="s">
        <v>2706</v>
      </c>
      <c r="Q64">
        <v>80691901</v>
      </c>
      <c r="R64" t="s">
        <v>60</v>
      </c>
      <c r="V64" s="1">
        <v>20098</v>
      </c>
      <c r="W64" s="5">
        <f ca="1">+(TODAY()-Tabla2[[#This Row],[FECHA DE NACIMIENTO]])/360</f>
        <v>72.230555555555554</v>
      </c>
    </row>
    <row r="65" spans="1:23" x14ac:dyDescent="0.45">
      <c r="A65" t="s">
        <v>23</v>
      </c>
      <c r="B65" t="s">
        <v>24</v>
      </c>
      <c r="C65" t="s">
        <v>25</v>
      </c>
      <c r="D65" s="1">
        <v>45301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 t="s">
        <v>32</v>
      </c>
      <c r="L65">
        <v>927005042</v>
      </c>
      <c r="M65" t="s">
        <v>33</v>
      </c>
      <c r="N65" t="s">
        <v>34</v>
      </c>
      <c r="O65" t="s">
        <v>35</v>
      </c>
      <c r="P65" t="s">
        <v>36</v>
      </c>
      <c r="Q65">
        <v>68580226</v>
      </c>
      <c r="R65" t="s">
        <v>37</v>
      </c>
      <c r="S65" t="s">
        <v>38</v>
      </c>
      <c r="T65" t="s">
        <v>39</v>
      </c>
      <c r="U65" s="1">
        <v>45716</v>
      </c>
      <c r="W65" s="5">
        <f ca="1">+(TODAY()-Tabla2[[#This Row],[FECHA DE NACIMIENTO]])/360</f>
        <v>128.05833333333334</v>
      </c>
    </row>
    <row r="66" spans="1:23" x14ac:dyDescent="0.45">
      <c r="A66" t="s">
        <v>23</v>
      </c>
      <c r="B66" t="s">
        <v>24</v>
      </c>
      <c r="C66" t="s">
        <v>25</v>
      </c>
      <c r="D66" s="1">
        <v>45572</v>
      </c>
      <c r="E66" t="s">
        <v>40</v>
      </c>
      <c r="F66" t="s">
        <v>41</v>
      </c>
      <c r="G66" t="s">
        <v>42</v>
      </c>
      <c r="H66" t="s">
        <v>43</v>
      </c>
      <c r="I66" t="s">
        <v>44</v>
      </c>
      <c r="J66" t="s">
        <v>45</v>
      </c>
      <c r="K66" t="s">
        <v>46</v>
      </c>
      <c r="L66">
        <v>959022710</v>
      </c>
      <c r="M66" t="s">
        <v>33</v>
      </c>
      <c r="N66" t="s">
        <v>34</v>
      </c>
      <c r="O66" t="s">
        <v>47</v>
      </c>
      <c r="P66" t="s">
        <v>48</v>
      </c>
      <c r="Q66">
        <v>242920260</v>
      </c>
      <c r="R66" t="s">
        <v>37</v>
      </c>
      <c r="S66" t="s">
        <v>38</v>
      </c>
      <c r="T66" t="s">
        <v>39</v>
      </c>
      <c r="U66" s="1">
        <v>45930</v>
      </c>
      <c r="W66" s="5">
        <f ca="1">+(TODAY()-Tabla2[[#This Row],[FECHA DE NACIMIENTO]])/360</f>
        <v>128.05833333333334</v>
      </c>
    </row>
    <row r="67" spans="1:23" x14ac:dyDescent="0.45">
      <c r="A67" t="s">
        <v>23</v>
      </c>
      <c r="B67" t="s">
        <v>24</v>
      </c>
      <c r="C67" t="s">
        <v>49</v>
      </c>
      <c r="D67" s="1">
        <v>45572</v>
      </c>
      <c r="E67" t="s">
        <v>50</v>
      </c>
      <c r="F67" t="s">
        <v>51</v>
      </c>
      <c r="G67" t="s">
        <v>42</v>
      </c>
      <c r="H67" t="s">
        <v>52</v>
      </c>
      <c r="I67" t="s">
        <v>53</v>
      </c>
      <c r="J67" t="s">
        <v>54</v>
      </c>
      <c r="K67" t="s">
        <v>55</v>
      </c>
      <c r="L67">
        <v>995057356</v>
      </c>
      <c r="M67" t="s">
        <v>56</v>
      </c>
      <c r="N67" t="s">
        <v>57</v>
      </c>
      <c r="O67" t="s">
        <v>58</v>
      </c>
      <c r="P67" t="s">
        <v>59</v>
      </c>
      <c r="Q67">
        <v>223167641</v>
      </c>
      <c r="R67" t="s">
        <v>60</v>
      </c>
      <c r="S67" t="s">
        <v>38</v>
      </c>
      <c r="T67" t="s">
        <v>39</v>
      </c>
      <c r="W67" s="5">
        <f ca="1">+(TODAY()-Tabla2[[#This Row],[FECHA DE NACIMIENTO]])/360</f>
        <v>128.05833333333334</v>
      </c>
    </row>
    <row r="68" spans="1:23" x14ac:dyDescent="0.45">
      <c r="A68" t="s">
        <v>23</v>
      </c>
      <c r="B68" t="s">
        <v>24</v>
      </c>
      <c r="C68" t="s">
        <v>25</v>
      </c>
      <c r="D68" s="1">
        <v>45572</v>
      </c>
      <c r="E68" t="s">
        <v>61</v>
      </c>
      <c r="F68" t="s">
        <v>62</v>
      </c>
      <c r="G68" t="s">
        <v>42</v>
      </c>
      <c r="H68" t="s">
        <v>63</v>
      </c>
      <c r="I68" t="s">
        <v>64</v>
      </c>
      <c r="J68" t="s">
        <v>45</v>
      </c>
      <c r="K68" t="s">
        <v>65</v>
      </c>
      <c r="L68">
        <v>974269798</v>
      </c>
      <c r="M68" t="s">
        <v>33</v>
      </c>
      <c r="N68" t="s">
        <v>34</v>
      </c>
      <c r="O68" t="s">
        <v>58</v>
      </c>
      <c r="P68" t="s">
        <v>66</v>
      </c>
      <c r="Q68">
        <v>9006512</v>
      </c>
      <c r="R68" t="s">
        <v>37</v>
      </c>
      <c r="S68" t="s">
        <v>38</v>
      </c>
      <c r="T68" t="s">
        <v>39</v>
      </c>
      <c r="U68" s="1">
        <v>45716</v>
      </c>
      <c r="W68" s="5">
        <f ca="1">+(TODAY()-Tabla2[[#This Row],[FECHA DE NACIMIENTO]])/360</f>
        <v>128.05833333333334</v>
      </c>
    </row>
    <row r="69" spans="1:23" x14ac:dyDescent="0.45">
      <c r="A69" t="s">
        <v>23</v>
      </c>
      <c r="B69" t="s">
        <v>24</v>
      </c>
      <c r="C69" t="s">
        <v>25</v>
      </c>
      <c r="D69" s="1">
        <v>45572</v>
      </c>
      <c r="E69" t="s">
        <v>67</v>
      </c>
      <c r="F69" t="s">
        <v>68</v>
      </c>
      <c r="G69" t="s">
        <v>42</v>
      </c>
      <c r="H69" t="s">
        <v>69</v>
      </c>
      <c r="I69" t="s">
        <v>70</v>
      </c>
      <c r="J69" t="s">
        <v>71</v>
      </c>
      <c r="K69" t="s">
        <v>72</v>
      </c>
      <c r="L69">
        <v>930521299</v>
      </c>
      <c r="M69" t="s">
        <v>56</v>
      </c>
      <c r="N69" t="s">
        <v>34</v>
      </c>
      <c r="O69" t="s">
        <v>35</v>
      </c>
      <c r="P69" t="s">
        <v>73</v>
      </c>
      <c r="Q69">
        <v>4011761575</v>
      </c>
      <c r="R69" t="s">
        <v>37</v>
      </c>
      <c r="S69" t="s">
        <v>38</v>
      </c>
      <c r="T69" t="s">
        <v>74</v>
      </c>
      <c r="U69" s="1">
        <v>45688</v>
      </c>
      <c r="W69" s="5">
        <f ca="1">+(TODAY()-Tabla2[[#This Row],[FECHA DE NACIMIENTO]])/360</f>
        <v>128.05833333333334</v>
      </c>
    </row>
    <row r="70" spans="1:23" x14ac:dyDescent="0.45">
      <c r="A70" t="s">
        <v>23</v>
      </c>
      <c r="B70" t="s">
        <v>24</v>
      </c>
      <c r="C70" t="s">
        <v>25</v>
      </c>
      <c r="D70" s="1">
        <v>45572</v>
      </c>
      <c r="E70" t="s">
        <v>75</v>
      </c>
      <c r="F70" t="s">
        <v>76</v>
      </c>
      <c r="G70" t="s">
        <v>28</v>
      </c>
      <c r="H70" t="s">
        <v>77</v>
      </c>
      <c r="I70" t="s">
        <v>78</v>
      </c>
      <c r="J70" t="s">
        <v>79</v>
      </c>
      <c r="K70" t="s">
        <v>80</v>
      </c>
      <c r="L70">
        <v>920863938</v>
      </c>
      <c r="M70" t="s">
        <v>81</v>
      </c>
      <c r="N70" t="s">
        <v>34</v>
      </c>
      <c r="O70" t="s">
        <v>35</v>
      </c>
      <c r="P70" t="s">
        <v>82</v>
      </c>
      <c r="Q70">
        <v>19995489015</v>
      </c>
      <c r="R70" t="s">
        <v>37</v>
      </c>
      <c r="S70" t="s">
        <v>38</v>
      </c>
      <c r="T70" t="s">
        <v>74</v>
      </c>
      <c r="U70" s="1">
        <v>45688</v>
      </c>
      <c r="W70" s="5">
        <f ca="1">+(TODAY()-Tabla2[[#This Row],[FECHA DE NACIMIENTO]])/360</f>
        <v>128.05833333333334</v>
      </c>
    </row>
    <row r="71" spans="1:23" x14ac:dyDescent="0.45">
      <c r="A71" t="s">
        <v>23</v>
      </c>
      <c r="B71" t="s">
        <v>24</v>
      </c>
      <c r="C71" t="s">
        <v>25</v>
      </c>
      <c r="D71" s="1">
        <v>45572</v>
      </c>
      <c r="E71" t="s">
        <v>83</v>
      </c>
      <c r="F71" t="s">
        <v>84</v>
      </c>
      <c r="G71" t="s">
        <v>42</v>
      </c>
      <c r="H71" t="s">
        <v>85</v>
      </c>
      <c r="I71" t="s">
        <v>86</v>
      </c>
      <c r="J71" t="s">
        <v>45</v>
      </c>
      <c r="K71" t="s">
        <v>87</v>
      </c>
      <c r="L71">
        <v>949586238</v>
      </c>
      <c r="M71" t="s">
        <v>33</v>
      </c>
      <c r="N71" t="s">
        <v>57</v>
      </c>
      <c r="O71" t="s">
        <v>58</v>
      </c>
      <c r="P71" t="s">
        <v>66</v>
      </c>
      <c r="Q71">
        <v>25718400</v>
      </c>
      <c r="R71" t="s">
        <v>37</v>
      </c>
      <c r="S71" t="s">
        <v>38</v>
      </c>
      <c r="T71" t="s">
        <v>74</v>
      </c>
      <c r="U71" s="1">
        <v>45777</v>
      </c>
      <c r="W71" s="5">
        <f ca="1">+(TODAY()-Tabla2[[#This Row],[FECHA DE NACIMIENTO]])/360</f>
        <v>128.05833333333334</v>
      </c>
    </row>
    <row r="72" spans="1:23" x14ac:dyDescent="0.45">
      <c r="A72" t="s">
        <v>23</v>
      </c>
      <c r="B72" t="s">
        <v>88</v>
      </c>
      <c r="C72" t="s">
        <v>89</v>
      </c>
      <c r="D72" s="1">
        <v>45572</v>
      </c>
      <c r="E72" t="s">
        <v>90</v>
      </c>
      <c r="F72" t="s">
        <v>91</v>
      </c>
      <c r="G72" t="s">
        <v>42</v>
      </c>
      <c r="H72" t="s">
        <v>92</v>
      </c>
      <c r="I72" t="s">
        <v>93</v>
      </c>
      <c r="J72" t="s">
        <v>94</v>
      </c>
      <c r="K72" t="s">
        <v>95</v>
      </c>
      <c r="L72">
        <v>979857706</v>
      </c>
      <c r="M72" t="s">
        <v>33</v>
      </c>
      <c r="N72" t="s">
        <v>34</v>
      </c>
      <c r="O72" t="s">
        <v>35</v>
      </c>
      <c r="P72" t="s">
        <v>96</v>
      </c>
      <c r="Q72">
        <v>51684730</v>
      </c>
      <c r="R72" t="s">
        <v>37</v>
      </c>
      <c r="S72" t="s">
        <v>38</v>
      </c>
      <c r="T72" t="s">
        <v>39</v>
      </c>
      <c r="U72" s="1">
        <v>45777</v>
      </c>
      <c r="W72" s="5">
        <f ca="1">+(TODAY()-Tabla2[[#This Row],[FECHA DE NACIMIENTO]])/360</f>
        <v>128.05833333333334</v>
      </c>
    </row>
    <row r="73" spans="1:23" x14ac:dyDescent="0.45">
      <c r="A73" t="s">
        <v>23</v>
      </c>
      <c r="B73" t="s">
        <v>24</v>
      </c>
      <c r="C73" t="s">
        <v>25</v>
      </c>
      <c r="D73" s="1">
        <v>45572</v>
      </c>
      <c r="E73" t="s">
        <v>97</v>
      </c>
      <c r="F73" t="s">
        <v>98</v>
      </c>
      <c r="G73" t="s">
        <v>42</v>
      </c>
      <c r="H73" t="s">
        <v>99</v>
      </c>
      <c r="I73" t="s">
        <v>100</v>
      </c>
      <c r="J73" t="s">
        <v>45</v>
      </c>
      <c r="K73" t="s">
        <v>101</v>
      </c>
      <c r="L73">
        <v>971409743</v>
      </c>
      <c r="M73" t="s">
        <v>33</v>
      </c>
      <c r="N73" t="s">
        <v>34</v>
      </c>
      <c r="O73" t="s">
        <v>58</v>
      </c>
      <c r="P73" t="s">
        <v>48</v>
      </c>
      <c r="Q73">
        <v>12122010</v>
      </c>
      <c r="R73" t="s">
        <v>37</v>
      </c>
      <c r="S73" t="s">
        <v>38</v>
      </c>
      <c r="T73" t="s">
        <v>74</v>
      </c>
      <c r="U73" s="1">
        <v>45777</v>
      </c>
      <c r="W73" s="5">
        <f ca="1">+(TODAY()-Tabla2[[#This Row],[FECHA DE NACIMIENTO]])/360</f>
        <v>128.05833333333334</v>
      </c>
    </row>
    <row r="74" spans="1:23" x14ac:dyDescent="0.45">
      <c r="A74" t="s">
        <v>23</v>
      </c>
      <c r="B74" t="s">
        <v>24</v>
      </c>
      <c r="C74" t="s">
        <v>25</v>
      </c>
      <c r="D74" s="1">
        <v>45572</v>
      </c>
      <c r="E74" t="s">
        <v>102</v>
      </c>
      <c r="F74" t="s">
        <v>103</v>
      </c>
      <c r="G74" t="s">
        <v>28</v>
      </c>
      <c r="H74" t="s">
        <v>104</v>
      </c>
      <c r="I74" t="s">
        <v>105</v>
      </c>
      <c r="J74" t="s">
        <v>106</v>
      </c>
      <c r="K74" t="s">
        <v>107</v>
      </c>
      <c r="L74">
        <v>979149652</v>
      </c>
      <c r="M74" t="s">
        <v>33</v>
      </c>
      <c r="N74" t="s">
        <v>57</v>
      </c>
      <c r="O74" t="s">
        <v>35</v>
      </c>
      <c r="P74" t="s">
        <v>82</v>
      </c>
      <c r="Q74">
        <v>13580037131</v>
      </c>
      <c r="R74" t="s">
        <v>37</v>
      </c>
      <c r="S74" t="s">
        <v>38</v>
      </c>
      <c r="T74" t="s">
        <v>74</v>
      </c>
      <c r="U74" s="1">
        <v>45777</v>
      </c>
      <c r="W74" s="5">
        <f ca="1">+(TODAY()-Tabla2[[#This Row],[FECHA DE NACIMIENTO]])/360</f>
        <v>128.05833333333334</v>
      </c>
    </row>
    <row r="75" spans="1:23" x14ac:dyDescent="0.45">
      <c r="A75" t="s">
        <v>23</v>
      </c>
      <c r="B75" t="s">
        <v>108</v>
      </c>
      <c r="C75" t="s">
        <v>89</v>
      </c>
      <c r="D75" s="1">
        <v>45572</v>
      </c>
      <c r="E75" t="s">
        <v>102</v>
      </c>
      <c r="F75" t="s">
        <v>103</v>
      </c>
      <c r="G75" t="s">
        <v>28</v>
      </c>
      <c r="H75" t="s">
        <v>29</v>
      </c>
      <c r="I75" t="s">
        <v>105</v>
      </c>
      <c r="J75" t="s">
        <v>106</v>
      </c>
      <c r="K75" t="s">
        <v>107</v>
      </c>
      <c r="L75">
        <v>979149652</v>
      </c>
      <c r="M75" t="s">
        <v>33</v>
      </c>
      <c r="N75" t="s">
        <v>57</v>
      </c>
      <c r="O75" t="s">
        <v>35</v>
      </c>
      <c r="P75" t="s">
        <v>82</v>
      </c>
      <c r="Q75">
        <v>13580037131</v>
      </c>
      <c r="R75" t="s">
        <v>37</v>
      </c>
      <c r="S75" t="s">
        <v>38</v>
      </c>
      <c r="T75" t="s">
        <v>39</v>
      </c>
      <c r="U75" s="1">
        <v>45777</v>
      </c>
      <c r="W75" s="5">
        <f ca="1">+(TODAY()-Tabla2[[#This Row],[FECHA DE NACIMIENTO]])/360</f>
        <v>128.05833333333334</v>
      </c>
    </row>
    <row r="76" spans="1:23" x14ac:dyDescent="0.45">
      <c r="A76" t="s">
        <v>23</v>
      </c>
      <c r="B76" t="s">
        <v>24</v>
      </c>
      <c r="C76" t="s">
        <v>25</v>
      </c>
      <c r="D76" s="1">
        <v>45572</v>
      </c>
      <c r="E76" t="s">
        <v>109</v>
      </c>
      <c r="F76" t="s">
        <v>110</v>
      </c>
      <c r="G76" t="s">
        <v>42</v>
      </c>
      <c r="H76" t="s">
        <v>111</v>
      </c>
      <c r="I76" t="s">
        <v>112</v>
      </c>
      <c r="J76" t="s">
        <v>31</v>
      </c>
      <c r="K76" t="s">
        <v>113</v>
      </c>
      <c r="L76">
        <v>962820796</v>
      </c>
      <c r="M76" t="s">
        <v>81</v>
      </c>
      <c r="N76" t="s">
        <v>34</v>
      </c>
      <c r="O76" t="s">
        <v>58</v>
      </c>
      <c r="P76" t="s">
        <v>66</v>
      </c>
      <c r="Q76">
        <v>10272257</v>
      </c>
      <c r="R76" t="s">
        <v>60</v>
      </c>
      <c r="S76" t="s">
        <v>38</v>
      </c>
      <c r="T76" t="s">
        <v>39</v>
      </c>
      <c r="U76" s="1">
        <v>45777</v>
      </c>
      <c r="W76" s="5">
        <f ca="1">+(TODAY()-Tabla2[[#This Row],[FECHA DE NACIMIENTO]])/360</f>
        <v>128.05833333333334</v>
      </c>
    </row>
    <row r="77" spans="1:23" x14ac:dyDescent="0.45">
      <c r="A77" t="s">
        <v>23</v>
      </c>
      <c r="B77" t="s">
        <v>24</v>
      </c>
      <c r="C77" t="s">
        <v>25</v>
      </c>
      <c r="D77" s="1">
        <v>45572</v>
      </c>
      <c r="E77" t="s">
        <v>114</v>
      </c>
      <c r="F77" t="s">
        <v>115</v>
      </c>
      <c r="G77" t="s">
        <v>42</v>
      </c>
      <c r="H77" t="s">
        <v>116</v>
      </c>
      <c r="I77" t="s">
        <v>117</v>
      </c>
      <c r="J77" t="s">
        <v>45</v>
      </c>
      <c r="K77" t="s">
        <v>118</v>
      </c>
      <c r="L77">
        <v>935564184</v>
      </c>
      <c r="M77" t="s">
        <v>33</v>
      </c>
      <c r="N77" t="s">
        <v>57</v>
      </c>
      <c r="O77" t="s">
        <v>35</v>
      </c>
      <c r="P77" t="s">
        <v>36</v>
      </c>
      <c r="Q77">
        <v>83165910</v>
      </c>
      <c r="R77" t="s">
        <v>37</v>
      </c>
      <c r="S77" t="s">
        <v>38</v>
      </c>
      <c r="T77" t="s">
        <v>39</v>
      </c>
      <c r="U77" s="1">
        <v>45777</v>
      </c>
      <c r="W77" s="5">
        <f ca="1">+(TODAY()-Tabla2[[#This Row],[FECHA DE NACIMIENTO]])/360</f>
        <v>128.05833333333334</v>
      </c>
    </row>
    <row r="78" spans="1:23" x14ac:dyDescent="0.45">
      <c r="A78" t="s">
        <v>119</v>
      </c>
      <c r="B78" t="s">
        <v>120</v>
      </c>
      <c r="C78" t="s">
        <v>121</v>
      </c>
      <c r="D78" s="1">
        <v>45572</v>
      </c>
      <c r="F78" t="s">
        <v>24</v>
      </c>
      <c r="G78" t="s">
        <v>28</v>
      </c>
      <c r="H78" t="s">
        <v>122</v>
      </c>
      <c r="R78" t="s">
        <v>60</v>
      </c>
      <c r="S78" t="s">
        <v>123</v>
      </c>
      <c r="T78" t="s">
        <v>124</v>
      </c>
      <c r="U78" s="1">
        <v>45777</v>
      </c>
      <c r="W78" s="5">
        <f ca="1">+(TODAY()-Tabla2[[#This Row],[FECHA DE NACIMIENTO]])/360</f>
        <v>128.05833333333334</v>
      </c>
    </row>
    <row r="79" spans="1:23" x14ac:dyDescent="0.45">
      <c r="A79" t="s">
        <v>23</v>
      </c>
      <c r="B79" t="s">
        <v>125</v>
      </c>
      <c r="C79" t="s">
        <v>89</v>
      </c>
      <c r="D79" s="1">
        <v>45589</v>
      </c>
      <c r="E79" t="s">
        <v>126</v>
      </c>
      <c r="F79" t="s">
        <v>127</v>
      </c>
      <c r="G79" t="s">
        <v>28</v>
      </c>
      <c r="H79" t="s">
        <v>29</v>
      </c>
      <c r="I79" t="s">
        <v>128</v>
      </c>
      <c r="J79" t="s">
        <v>45</v>
      </c>
      <c r="K79" t="s">
        <v>129</v>
      </c>
      <c r="L79">
        <v>939046364</v>
      </c>
      <c r="M79" t="s">
        <v>33</v>
      </c>
      <c r="N79" t="s">
        <v>34</v>
      </c>
      <c r="O79" t="s">
        <v>35</v>
      </c>
      <c r="P79" t="s">
        <v>130</v>
      </c>
      <c r="Q79">
        <v>490067010</v>
      </c>
      <c r="R79" t="s">
        <v>37</v>
      </c>
      <c r="S79" t="s">
        <v>38</v>
      </c>
      <c r="T79" t="s">
        <v>74</v>
      </c>
      <c r="U79" s="1">
        <v>45777</v>
      </c>
      <c r="W79" s="5">
        <f ca="1">+(TODAY()-Tabla2[[#This Row],[FECHA DE NACIMIENTO]])/360</f>
        <v>128.05833333333334</v>
      </c>
    </row>
    <row r="80" spans="1:23" x14ac:dyDescent="0.45">
      <c r="A80" t="s">
        <v>23</v>
      </c>
      <c r="B80" t="s">
        <v>131</v>
      </c>
      <c r="C80" t="s">
        <v>89</v>
      </c>
      <c r="D80" s="1">
        <v>45589</v>
      </c>
      <c r="E80" t="s">
        <v>132</v>
      </c>
      <c r="F80" t="s">
        <v>133</v>
      </c>
      <c r="G80" t="s">
        <v>28</v>
      </c>
      <c r="H80" t="s">
        <v>69</v>
      </c>
      <c r="I80" t="s">
        <v>134</v>
      </c>
      <c r="J80" t="s">
        <v>45</v>
      </c>
      <c r="K80" t="s">
        <v>135</v>
      </c>
      <c r="L80">
        <v>998804070</v>
      </c>
      <c r="M80" t="s">
        <v>33</v>
      </c>
      <c r="N80" t="s">
        <v>136</v>
      </c>
      <c r="O80" t="s">
        <v>58</v>
      </c>
      <c r="P80" t="s">
        <v>66</v>
      </c>
      <c r="Q80">
        <v>28567156</v>
      </c>
      <c r="R80" t="s">
        <v>37</v>
      </c>
      <c r="S80" t="s">
        <v>137</v>
      </c>
      <c r="T80" t="s">
        <v>74</v>
      </c>
      <c r="U80" s="1">
        <v>46022</v>
      </c>
      <c r="W80" s="5">
        <f ca="1">+(TODAY()-Tabla2[[#This Row],[FECHA DE NACIMIENTO]])/360</f>
        <v>128.05833333333334</v>
      </c>
    </row>
    <row r="81" spans="1:23" x14ac:dyDescent="0.45">
      <c r="A81" t="s">
        <v>23</v>
      </c>
      <c r="B81" t="s">
        <v>131</v>
      </c>
      <c r="C81" t="s">
        <v>89</v>
      </c>
      <c r="D81" s="1">
        <v>45592</v>
      </c>
      <c r="E81" t="s">
        <v>138</v>
      </c>
      <c r="F81" t="s">
        <v>139</v>
      </c>
      <c r="G81" t="s">
        <v>42</v>
      </c>
      <c r="H81" t="s">
        <v>140</v>
      </c>
      <c r="I81" t="s">
        <v>141</v>
      </c>
      <c r="J81" t="s">
        <v>142</v>
      </c>
      <c r="K81" t="s">
        <v>143</v>
      </c>
      <c r="L81">
        <v>946183868</v>
      </c>
      <c r="M81" t="s">
        <v>81</v>
      </c>
      <c r="N81" t="s">
        <v>34</v>
      </c>
      <c r="O81" t="s">
        <v>35</v>
      </c>
      <c r="P81" t="s">
        <v>82</v>
      </c>
      <c r="Q81">
        <v>15840714716</v>
      </c>
      <c r="R81" t="s">
        <v>37</v>
      </c>
      <c r="S81" t="s">
        <v>137</v>
      </c>
      <c r="T81" t="s">
        <v>74</v>
      </c>
      <c r="U81" s="1">
        <v>46022</v>
      </c>
      <c r="W81" s="5">
        <f ca="1">+(TODAY()-Tabla2[[#This Row],[FECHA DE NACIMIENTO]])/360</f>
        <v>128.05833333333334</v>
      </c>
    </row>
    <row r="82" spans="1:23" x14ac:dyDescent="0.45">
      <c r="A82" t="s">
        <v>23</v>
      </c>
      <c r="B82" t="s">
        <v>131</v>
      </c>
      <c r="C82" t="s">
        <v>89</v>
      </c>
      <c r="D82" s="1">
        <v>45592</v>
      </c>
      <c r="E82" t="s">
        <v>144</v>
      </c>
      <c r="F82" t="s">
        <v>145</v>
      </c>
      <c r="G82" t="s">
        <v>42</v>
      </c>
      <c r="H82" t="s">
        <v>146</v>
      </c>
      <c r="I82" t="s">
        <v>147</v>
      </c>
      <c r="J82" t="s">
        <v>142</v>
      </c>
      <c r="K82" t="s">
        <v>148</v>
      </c>
      <c r="L82">
        <v>920943552</v>
      </c>
      <c r="M82" t="s">
        <v>81</v>
      </c>
      <c r="N82" t="s">
        <v>34</v>
      </c>
      <c r="O82" t="s">
        <v>58</v>
      </c>
      <c r="P82" t="s">
        <v>66</v>
      </c>
      <c r="Q82">
        <v>12675933</v>
      </c>
      <c r="R82" t="s">
        <v>37</v>
      </c>
      <c r="S82" t="s">
        <v>137</v>
      </c>
      <c r="T82" t="s">
        <v>74</v>
      </c>
      <c r="U82" s="1">
        <v>45961</v>
      </c>
      <c r="W82" s="5">
        <f ca="1">+(TODAY()-Tabla2[[#This Row],[FECHA DE NACIMIENTO]])/360</f>
        <v>128.05833333333334</v>
      </c>
    </row>
    <row r="83" spans="1:23" x14ac:dyDescent="0.45">
      <c r="A83" t="s">
        <v>23</v>
      </c>
      <c r="B83" t="s">
        <v>131</v>
      </c>
      <c r="C83" t="s">
        <v>89</v>
      </c>
      <c r="D83" s="1">
        <v>45592</v>
      </c>
      <c r="E83" t="s">
        <v>149</v>
      </c>
      <c r="F83" t="s">
        <v>150</v>
      </c>
      <c r="G83" t="s">
        <v>28</v>
      </c>
      <c r="H83" t="s">
        <v>69</v>
      </c>
      <c r="I83" t="s">
        <v>151</v>
      </c>
      <c r="J83" t="s">
        <v>152</v>
      </c>
      <c r="K83" t="s">
        <v>153</v>
      </c>
      <c r="L83">
        <v>996185660</v>
      </c>
      <c r="M83" t="s">
        <v>81</v>
      </c>
      <c r="N83" t="s">
        <v>34</v>
      </c>
      <c r="O83" t="s">
        <v>35</v>
      </c>
      <c r="P83" t="s">
        <v>36</v>
      </c>
      <c r="Q83">
        <v>66822087</v>
      </c>
      <c r="R83" t="s">
        <v>37</v>
      </c>
      <c r="S83" t="s">
        <v>137</v>
      </c>
      <c r="T83" t="s">
        <v>74</v>
      </c>
      <c r="U83" s="1">
        <v>45961</v>
      </c>
      <c r="W83" s="5">
        <f ca="1">+(TODAY()-Tabla2[[#This Row],[FECHA DE NACIMIENTO]])/360</f>
        <v>128.05833333333334</v>
      </c>
    </row>
    <row r="84" spans="1:23" x14ac:dyDescent="0.45">
      <c r="A84" t="s">
        <v>23</v>
      </c>
      <c r="B84" t="s">
        <v>131</v>
      </c>
      <c r="C84" t="s">
        <v>89</v>
      </c>
      <c r="D84" s="1">
        <v>45592</v>
      </c>
      <c r="E84" t="s">
        <v>154</v>
      </c>
      <c r="F84" t="s">
        <v>155</v>
      </c>
      <c r="G84" t="s">
        <v>42</v>
      </c>
      <c r="H84" t="s">
        <v>156</v>
      </c>
      <c r="I84" t="s">
        <v>157</v>
      </c>
      <c r="J84" t="s">
        <v>158</v>
      </c>
      <c r="K84" t="s">
        <v>159</v>
      </c>
      <c r="L84">
        <v>922199280</v>
      </c>
      <c r="M84" t="s">
        <v>33</v>
      </c>
      <c r="N84" t="s">
        <v>34</v>
      </c>
      <c r="O84" t="s">
        <v>58</v>
      </c>
      <c r="P84" t="s">
        <v>66</v>
      </c>
      <c r="Q84">
        <v>20388301</v>
      </c>
      <c r="R84" t="s">
        <v>37</v>
      </c>
      <c r="S84" t="s">
        <v>137</v>
      </c>
      <c r="T84" t="s">
        <v>74</v>
      </c>
      <c r="U84" s="1">
        <v>45961</v>
      </c>
      <c r="W84" s="5">
        <f ca="1">+(TODAY()-Tabla2[[#This Row],[FECHA DE NACIMIENTO]])/360</f>
        <v>128.05833333333334</v>
      </c>
    </row>
    <row r="85" spans="1:23" x14ac:dyDescent="0.45">
      <c r="A85" t="s">
        <v>23</v>
      </c>
      <c r="B85" t="s">
        <v>88</v>
      </c>
      <c r="C85" t="s">
        <v>160</v>
      </c>
      <c r="D85" s="1">
        <v>45592</v>
      </c>
      <c r="E85" t="s">
        <v>161</v>
      </c>
      <c r="F85" t="s">
        <v>162</v>
      </c>
      <c r="G85" t="s">
        <v>42</v>
      </c>
      <c r="H85" t="s">
        <v>163</v>
      </c>
      <c r="I85" t="s">
        <v>164</v>
      </c>
      <c r="J85" t="s">
        <v>165</v>
      </c>
      <c r="K85" t="s">
        <v>166</v>
      </c>
      <c r="L85">
        <v>952023136</v>
      </c>
      <c r="M85" t="s">
        <v>33</v>
      </c>
      <c r="N85" t="s">
        <v>57</v>
      </c>
      <c r="O85" t="s">
        <v>35</v>
      </c>
      <c r="P85" t="s">
        <v>82</v>
      </c>
      <c r="Q85">
        <v>17840008726</v>
      </c>
      <c r="R85" t="s">
        <v>37</v>
      </c>
      <c r="S85" t="s">
        <v>123</v>
      </c>
      <c r="T85" t="s">
        <v>124</v>
      </c>
      <c r="U85" s="1">
        <v>45961</v>
      </c>
      <c r="W85" s="5">
        <f ca="1">+(TODAY()-Tabla2[[#This Row],[FECHA DE NACIMIENTO]])/360</f>
        <v>128.05833333333334</v>
      </c>
    </row>
    <row r="86" spans="1:23" x14ac:dyDescent="0.45">
      <c r="A86" t="s">
        <v>23</v>
      </c>
      <c r="B86" t="s">
        <v>88</v>
      </c>
      <c r="C86" t="s">
        <v>89</v>
      </c>
      <c r="D86" s="1">
        <v>45592</v>
      </c>
      <c r="E86" t="s">
        <v>167</v>
      </c>
      <c r="F86" t="s">
        <v>168</v>
      </c>
      <c r="G86" t="s">
        <v>28</v>
      </c>
      <c r="H86" t="s">
        <v>146</v>
      </c>
      <c r="I86" t="s">
        <v>169</v>
      </c>
      <c r="J86" t="s">
        <v>94</v>
      </c>
      <c r="K86" t="s">
        <v>170</v>
      </c>
      <c r="L86">
        <v>926297097</v>
      </c>
      <c r="M86" t="s">
        <v>33</v>
      </c>
      <c r="N86" t="s">
        <v>34</v>
      </c>
      <c r="O86" t="s">
        <v>58</v>
      </c>
      <c r="P86" t="s">
        <v>66</v>
      </c>
      <c r="Q86">
        <v>16682489</v>
      </c>
      <c r="R86" t="s">
        <v>37</v>
      </c>
      <c r="S86" t="s">
        <v>137</v>
      </c>
      <c r="T86" t="s">
        <v>74</v>
      </c>
      <c r="U86" s="1">
        <v>45991</v>
      </c>
      <c r="W86" s="5">
        <f ca="1">+(TODAY()-Tabla2[[#This Row],[FECHA DE NACIMIENTO]])/360</f>
        <v>128.05833333333334</v>
      </c>
    </row>
    <row r="87" spans="1:23" x14ac:dyDescent="0.45">
      <c r="A87" t="s">
        <v>23</v>
      </c>
      <c r="B87" t="s">
        <v>171</v>
      </c>
      <c r="C87" t="s">
        <v>89</v>
      </c>
      <c r="D87" s="1">
        <v>45592</v>
      </c>
      <c r="E87" t="s">
        <v>172</v>
      </c>
      <c r="F87" t="s">
        <v>173</v>
      </c>
      <c r="G87" t="s">
        <v>42</v>
      </c>
      <c r="H87" t="s">
        <v>174</v>
      </c>
      <c r="I87" t="s">
        <v>175</v>
      </c>
      <c r="J87" t="s">
        <v>54</v>
      </c>
      <c r="K87" t="s">
        <v>176</v>
      </c>
      <c r="L87">
        <v>944070732</v>
      </c>
      <c r="M87" t="s">
        <v>33</v>
      </c>
      <c r="N87" t="s">
        <v>34</v>
      </c>
      <c r="O87" t="s">
        <v>58</v>
      </c>
      <c r="P87" t="s">
        <v>66</v>
      </c>
      <c r="Q87">
        <v>328923324</v>
      </c>
      <c r="R87" t="s">
        <v>37</v>
      </c>
      <c r="S87" t="s">
        <v>137</v>
      </c>
      <c r="T87" t="s">
        <v>74</v>
      </c>
      <c r="U87" s="1">
        <v>45961</v>
      </c>
      <c r="W87" s="5">
        <f ca="1">+(TODAY()-Tabla2[[#This Row],[FECHA DE NACIMIENTO]])/360</f>
        <v>128.05833333333334</v>
      </c>
    </row>
    <row r="88" spans="1:23" x14ac:dyDescent="0.45">
      <c r="A88" t="s">
        <v>23</v>
      </c>
      <c r="B88" t="s">
        <v>131</v>
      </c>
      <c r="C88" t="s">
        <v>89</v>
      </c>
      <c r="D88" s="1">
        <v>45592</v>
      </c>
      <c r="E88" t="s">
        <v>177</v>
      </c>
      <c r="F88" t="s">
        <v>178</v>
      </c>
      <c r="G88" t="s">
        <v>28</v>
      </c>
      <c r="H88" t="s">
        <v>179</v>
      </c>
      <c r="I88" t="s">
        <v>180</v>
      </c>
      <c r="J88" t="s">
        <v>181</v>
      </c>
      <c r="K88" t="s">
        <v>182</v>
      </c>
      <c r="L88">
        <v>953911181</v>
      </c>
      <c r="M88" t="s">
        <v>33</v>
      </c>
      <c r="N88" t="s">
        <v>34</v>
      </c>
      <c r="O88" t="s">
        <v>35</v>
      </c>
      <c r="P88" t="s">
        <v>82</v>
      </c>
      <c r="Q88">
        <v>19831232039</v>
      </c>
      <c r="R88" t="s">
        <v>37</v>
      </c>
      <c r="S88" t="s">
        <v>137</v>
      </c>
      <c r="T88" t="s">
        <v>74</v>
      </c>
      <c r="U88" s="1">
        <v>45961</v>
      </c>
      <c r="W88" s="5">
        <f ca="1">+(TODAY()-Tabla2[[#This Row],[FECHA DE NACIMIENTO]])/360</f>
        <v>128.05833333333334</v>
      </c>
    </row>
    <row r="89" spans="1:23" x14ac:dyDescent="0.45">
      <c r="A89" t="s">
        <v>23</v>
      </c>
      <c r="B89" t="s">
        <v>88</v>
      </c>
      <c r="C89" t="s">
        <v>89</v>
      </c>
      <c r="D89" s="1">
        <v>45592</v>
      </c>
      <c r="E89" t="s">
        <v>183</v>
      </c>
      <c r="F89" t="s">
        <v>184</v>
      </c>
      <c r="G89" t="s">
        <v>42</v>
      </c>
      <c r="H89" t="s">
        <v>185</v>
      </c>
      <c r="I89" t="s">
        <v>186</v>
      </c>
      <c r="J89" t="s">
        <v>31</v>
      </c>
      <c r="K89" t="s">
        <v>187</v>
      </c>
      <c r="L89">
        <v>987254931</v>
      </c>
      <c r="M89" t="s">
        <v>81</v>
      </c>
      <c r="N89" t="s">
        <v>34</v>
      </c>
      <c r="O89" t="s">
        <v>35</v>
      </c>
      <c r="P89" t="s">
        <v>48</v>
      </c>
      <c r="Q89">
        <v>1952059001</v>
      </c>
      <c r="R89" t="s">
        <v>37</v>
      </c>
      <c r="S89" t="s">
        <v>137</v>
      </c>
      <c r="T89" t="s">
        <v>74</v>
      </c>
      <c r="U89" s="1">
        <v>45961</v>
      </c>
      <c r="W89" s="5">
        <f ca="1">+(TODAY()-Tabla2[[#This Row],[FECHA DE NACIMIENTO]])/360</f>
        <v>128.05833333333334</v>
      </c>
    </row>
    <row r="90" spans="1:23" x14ac:dyDescent="0.45">
      <c r="A90" t="s">
        <v>23</v>
      </c>
      <c r="B90" t="s">
        <v>131</v>
      </c>
      <c r="C90" t="s">
        <v>89</v>
      </c>
      <c r="D90" s="1">
        <v>45592</v>
      </c>
      <c r="E90" t="s">
        <v>188</v>
      </c>
      <c r="F90" t="s">
        <v>189</v>
      </c>
      <c r="G90" t="s">
        <v>42</v>
      </c>
      <c r="H90" t="s">
        <v>190</v>
      </c>
      <c r="I90" t="s">
        <v>191</v>
      </c>
      <c r="J90" t="s">
        <v>192</v>
      </c>
      <c r="K90" t="s">
        <v>193</v>
      </c>
      <c r="L90">
        <v>972481353</v>
      </c>
      <c r="M90" t="s">
        <v>33</v>
      </c>
      <c r="N90" t="s">
        <v>57</v>
      </c>
      <c r="O90" t="s">
        <v>35</v>
      </c>
      <c r="P90" t="s">
        <v>36</v>
      </c>
      <c r="Q90">
        <v>84511439</v>
      </c>
      <c r="R90" t="s">
        <v>37</v>
      </c>
      <c r="S90" t="s">
        <v>137</v>
      </c>
      <c r="T90" t="s">
        <v>74</v>
      </c>
      <c r="U90" s="1">
        <v>45961</v>
      </c>
      <c r="W90" s="5">
        <f ca="1">+(TODAY()-Tabla2[[#This Row],[FECHA DE NACIMIENTO]])/360</f>
        <v>128.05833333333334</v>
      </c>
    </row>
    <row r="91" spans="1:23" x14ac:dyDescent="0.45">
      <c r="A91" t="s">
        <v>23</v>
      </c>
      <c r="B91" t="s">
        <v>194</v>
      </c>
      <c r="C91" t="s">
        <v>89</v>
      </c>
      <c r="D91" s="1">
        <v>45595</v>
      </c>
      <c r="E91" t="s">
        <v>195</v>
      </c>
      <c r="F91" t="s">
        <v>196</v>
      </c>
      <c r="G91" t="s">
        <v>42</v>
      </c>
      <c r="H91" t="s">
        <v>197</v>
      </c>
      <c r="I91" t="s">
        <v>198</v>
      </c>
      <c r="J91" t="s">
        <v>79</v>
      </c>
      <c r="K91" t="s">
        <v>199</v>
      </c>
      <c r="L91">
        <v>971873195</v>
      </c>
      <c r="M91" t="s">
        <v>33</v>
      </c>
      <c r="N91" t="s">
        <v>57</v>
      </c>
      <c r="O91" t="s">
        <v>58</v>
      </c>
      <c r="P91" t="s">
        <v>66</v>
      </c>
      <c r="Q91">
        <v>25897597</v>
      </c>
      <c r="R91" t="s">
        <v>37</v>
      </c>
      <c r="S91" t="s">
        <v>38</v>
      </c>
      <c r="T91" t="s">
        <v>39</v>
      </c>
      <c r="U91" s="1">
        <v>45961</v>
      </c>
      <c r="W91" s="5">
        <f ca="1">+(TODAY()-Tabla2[[#This Row],[FECHA DE NACIMIENTO]])/360</f>
        <v>128.05833333333334</v>
      </c>
    </row>
    <row r="92" spans="1:23" x14ac:dyDescent="0.45">
      <c r="A92" t="s">
        <v>23</v>
      </c>
      <c r="B92" t="s">
        <v>108</v>
      </c>
      <c r="C92" t="s">
        <v>89</v>
      </c>
      <c r="D92" s="1">
        <v>45595</v>
      </c>
      <c r="E92" t="s">
        <v>200</v>
      </c>
      <c r="F92" t="s">
        <v>201</v>
      </c>
      <c r="G92" t="s">
        <v>28</v>
      </c>
      <c r="H92" t="s">
        <v>202</v>
      </c>
      <c r="I92" t="s">
        <v>203</v>
      </c>
      <c r="J92" t="s">
        <v>204</v>
      </c>
      <c r="K92" t="s">
        <v>205</v>
      </c>
      <c r="L92">
        <v>931287310</v>
      </c>
      <c r="M92" t="s">
        <v>33</v>
      </c>
      <c r="N92" t="s">
        <v>34</v>
      </c>
      <c r="O92" t="s">
        <v>35</v>
      </c>
      <c r="P92" t="s">
        <v>82</v>
      </c>
      <c r="Q92">
        <v>15040308629</v>
      </c>
      <c r="R92" t="s">
        <v>37</v>
      </c>
      <c r="S92" t="s">
        <v>137</v>
      </c>
      <c r="T92" t="s">
        <v>74</v>
      </c>
      <c r="U92" s="1">
        <v>45961</v>
      </c>
      <c r="W92" s="5">
        <f ca="1">+(TODAY()-Tabla2[[#This Row],[FECHA DE NACIMIENTO]])/360</f>
        <v>128.05833333333334</v>
      </c>
    </row>
    <row r="93" spans="1:23" x14ac:dyDescent="0.45">
      <c r="A93" t="s">
        <v>23</v>
      </c>
      <c r="B93" t="s">
        <v>206</v>
      </c>
      <c r="C93" t="s">
        <v>89</v>
      </c>
      <c r="D93" s="1">
        <v>45595</v>
      </c>
      <c r="E93" t="s">
        <v>207</v>
      </c>
      <c r="F93" t="s">
        <v>208</v>
      </c>
      <c r="G93" t="s">
        <v>28</v>
      </c>
      <c r="H93" t="s">
        <v>69</v>
      </c>
      <c r="I93" t="s">
        <v>209</v>
      </c>
      <c r="J93" t="s">
        <v>142</v>
      </c>
      <c r="K93" t="s">
        <v>210</v>
      </c>
      <c r="L93">
        <v>971984646</v>
      </c>
      <c r="M93" t="s">
        <v>33</v>
      </c>
      <c r="N93" t="s">
        <v>34</v>
      </c>
      <c r="O93" t="s">
        <v>58</v>
      </c>
      <c r="P93" t="s">
        <v>66</v>
      </c>
      <c r="Q93">
        <v>15368981</v>
      </c>
      <c r="R93" t="s">
        <v>37</v>
      </c>
      <c r="S93" t="s">
        <v>38</v>
      </c>
      <c r="T93" t="s">
        <v>39</v>
      </c>
      <c r="U93" s="1">
        <v>45961</v>
      </c>
      <c r="W93" s="5">
        <f ca="1">+(TODAY()-Tabla2[[#This Row],[FECHA DE NACIMIENTO]])/360</f>
        <v>128.05833333333334</v>
      </c>
    </row>
    <row r="94" spans="1:23" x14ac:dyDescent="0.45">
      <c r="A94" t="s">
        <v>23</v>
      </c>
      <c r="B94" t="s">
        <v>131</v>
      </c>
      <c r="C94" t="s">
        <v>89</v>
      </c>
      <c r="D94" s="1">
        <v>45595</v>
      </c>
      <c r="E94" t="s">
        <v>211</v>
      </c>
      <c r="F94" t="s">
        <v>212</v>
      </c>
      <c r="G94" t="s">
        <v>42</v>
      </c>
      <c r="H94" t="s">
        <v>213</v>
      </c>
      <c r="I94" t="s">
        <v>214</v>
      </c>
      <c r="J94" t="s">
        <v>215</v>
      </c>
      <c r="K94" t="s">
        <v>216</v>
      </c>
      <c r="L94">
        <v>958540312</v>
      </c>
      <c r="M94" t="s">
        <v>33</v>
      </c>
      <c r="N94" t="s">
        <v>34</v>
      </c>
      <c r="O94" t="s">
        <v>58</v>
      </c>
      <c r="P94" t="s">
        <v>96</v>
      </c>
      <c r="Q94">
        <v>777020130266</v>
      </c>
      <c r="R94" t="s">
        <v>37</v>
      </c>
      <c r="S94" t="s">
        <v>137</v>
      </c>
      <c r="T94" t="s">
        <v>39</v>
      </c>
      <c r="U94" s="1">
        <v>45961</v>
      </c>
      <c r="W94" s="5">
        <f ca="1">+(TODAY()-Tabla2[[#This Row],[FECHA DE NACIMIENTO]])/360</f>
        <v>128.05833333333334</v>
      </c>
    </row>
    <row r="95" spans="1:23" x14ac:dyDescent="0.45">
      <c r="A95" t="s">
        <v>23</v>
      </c>
      <c r="B95" t="s">
        <v>217</v>
      </c>
      <c r="C95" t="s">
        <v>89</v>
      </c>
      <c r="D95" s="1">
        <v>45595</v>
      </c>
      <c r="E95" t="s">
        <v>218</v>
      </c>
      <c r="F95" t="s">
        <v>219</v>
      </c>
      <c r="G95" t="s">
        <v>42</v>
      </c>
      <c r="H95" t="s">
        <v>69</v>
      </c>
      <c r="I95" t="s">
        <v>220</v>
      </c>
      <c r="J95" t="s">
        <v>158</v>
      </c>
      <c r="K95" t="s">
        <v>221</v>
      </c>
      <c r="L95">
        <v>981321909</v>
      </c>
      <c r="M95" t="s">
        <v>33</v>
      </c>
      <c r="N95" t="s">
        <v>34</v>
      </c>
      <c r="O95" t="s">
        <v>35</v>
      </c>
      <c r="P95" t="s">
        <v>82</v>
      </c>
      <c r="Q95">
        <v>19831218057</v>
      </c>
      <c r="R95" t="s">
        <v>37</v>
      </c>
      <c r="S95" t="s">
        <v>38</v>
      </c>
      <c r="T95" t="s">
        <v>39</v>
      </c>
      <c r="U95" s="1">
        <v>45961</v>
      </c>
      <c r="W95" s="5">
        <f ca="1">+(TODAY()-Tabla2[[#This Row],[FECHA DE NACIMIENTO]])/360</f>
        <v>128.05833333333334</v>
      </c>
    </row>
    <row r="96" spans="1:23" x14ac:dyDescent="0.45">
      <c r="A96" t="s">
        <v>23</v>
      </c>
      <c r="B96" t="s">
        <v>88</v>
      </c>
      <c r="C96" t="s">
        <v>89</v>
      </c>
      <c r="D96" s="1">
        <v>45595</v>
      </c>
      <c r="E96" t="s">
        <v>222</v>
      </c>
      <c r="F96" t="s">
        <v>223</v>
      </c>
      <c r="G96" t="s">
        <v>42</v>
      </c>
      <c r="H96" t="s">
        <v>63</v>
      </c>
      <c r="I96" t="s">
        <v>224</v>
      </c>
      <c r="J96" t="s">
        <v>142</v>
      </c>
      <c r="K96" t="s">
        <v>225</v>
      </c>
      <c r="L96">
        <v>997780292</v>
      </c>
      <c r="M96" t="s">
        <v>33</v>
      </c>
      <c r="N96" t="s">
        <v>34</v>
      </c>
      <c r="O96" t="s">
        <v>58</v>
      </c>
      <c r="P96" t="s">
        <v>66</v>
      </c>
      <c r="Q96">
        <v>10769040</v>
      </c>
      <c r="R96" t="s">
        <v>37</v>
      </c>
      <c r="S96" t="s">
        <v>38</v>
      </c>
      <c r="T96" t="s">
        <v>39</v>
      </c>
      <c r="U96" s="1">
        <v>45961</v>
      </c>
      <c r="W96" s="5">
        <f ca="1">+(TODAY()-Tabla2[[#This Row],[FECHA DE NACIMIENTO]])/360</f>
        <v>128.05833333333334</v>
      </c>
    </row>
    <row r="97" spans="1:23" x14ac:dyDescent="0.45">
      <c r="A97" t="s">
        <v>23</v>
      </c>
      <c r="B97" t="s">
        <v>131</v>
      </c>
      <c r="C97" t="s">
        <v>89</v>
      </c>
      <c r="D97" s="1">
        <v>45595</v>
      </c>
      <c r="E97" t="s">
        <v>226</v>
      </c>
      <c r="F97" t="s">
        <v>227</v>
      </c>
      <c r="G97" t="s">
        <v>42</v>
      </c>
      <c r="H97" t="s">
        <v>69</v>
      </c>
      <c r="I97" t="s">
        <v>228</v>
      </c>
      <c r="J97" t="s">
        <v>229</v>
      </c>
      <c r="K97" t="s">
        <v>230</v>
      </c>
      <c r="L97">
        <v>976058799</v>
      </c>
      <c r="M97" t="s">
        <v>33</v>
      </c>
      <c r="N97" t="s">
        <v>57</v>
      </c>
      <c r="O97" t="s">
        <v>35</v>
      </c>
      <c r="P97" t="s">
        <v>36</v>
      </c>
      <c r="Q97">
        <v>83137240</v>
      </c>
      <c r="R97" t="s">
        <v>60</v>
      </c>
      <c r="S97" t="s">
        <v>38</v>
      </c>
      <c r="T97" t="s">
        <v>89</v>
      </c>
      <c r="U97" s="1">
        <v>45961</v>
      </c>
      <c r="W97" s="5">
        <f ca="1">+(TODAY()-Tabla2[[#This Row],[FECHA DE NACIMIENTO]])/360</f>
        <v>128.05833333333334</v>
      </c>
    </row>
    <row r="98" spans="1:23" x14ac:dyDescent="0.45">
      <c r="A98" t="s">
        <v>23</v>
      </c>
      <c r="B98" t="s">
        <v>131</v>
      </c>
      <c r="C98" t="s">
        <v>89</v>
      </c>
      <c r="D98" s="1">
        <v>45595</v>
      </c>
      <c r="E98" t="s">
        <v>231</v>
      </c>
      <c r="F98" t="s">
        <v>232</v>
      </c>
      <c r="G98" t="s">
        <v>42</v>
      </c>
      <c r="H98" t="s">
        <v>233</v>
      </c>
      <c r="I98" t="s">
        <v>234</v>
      </c>
      <c r="J98" t="s">
        <v>31</v>
      </c>
      <c r="K98" t="s">
        <v>235</v>
      </c>
      <c r="L98">
        <v>949950029</v>
      </c>
      <c r="M98" t="s">
        <v>33</v>
      </c>
      <c r="N98" t="s">
        <v>34</v>
      </c>
      <c r="O98" t="s">
        <v>35</v>
      </c>
      <c r="P98" t="s">
        <v>48</v>
      </c>
      <c r="Q98">
        <v>3280236603</v>
      </c>
      <c r="R98" t="s">
        <v>37</v>
      </c>
      <c r="S98" t="s">
        <v>38</v>
      </c>
      <c r="T98" t="s">
        <v>39</v>
      </c>
      <c r="U98" s="1">
        <v>45961</v>
      </c>
      <c r="W98" s="5">
        <f ca="1">+(TODAY()-Tabla2[[#This Row],[FECHA DE NACIMIENTO]])/360</f>
        <v>128.05833333333334</v>
      </c>
    </row>
    <row r="99" spans="1:23" x14ac:dyDescent="0.45">
      <c r="A99" t="s">
        <v>23</v>
      </c>
      <c r="B99" t="s">
        <v>236</v>
      </c>
      <c r="C99" t="s">
        <v>89</v>
      </c>
      <c r="D99" s="1">
        <v>45595</v>
      </c>
      <c r="E99" t="s">
        <v>237</v>
      </c>
      <c r="F99" t="s">
        <v>238</v>
      </c>
      <c r="G99" t="s">
        <v>42</v>
      </c>
      <c r="H99" t="s">
        <v>239</v>
      </c>
      <c r="I99" t="s">
        <v>240</v>
      </c>
      <c r="J99" t="s">
        <v>241</v>
      </c>
      <c r="K99" t="s">
        <v>242</v>
      </c>
      <c r="L99">
        <v>936879681</v>
      </c>
      <c r="M99" t="s">
        <v>33</v>
      </c>
      <c r="N99" t="s">
        <v>34</v>
      </c>
      <c r="O99" t="s">
        <v>58</v>
      </c>
      <c r="P99" t="s">
        <v>36</v>
      </c>
      <c r="Q99">
        <v>5618701723</v>
      </c>
      <c r="R99" t="s">
        <v>37</v>
      </c>
      <c r="S99" t="s">
        <v>38</v>
      </c>
      <c r="T99" t="s">
        <v>39</v>
      </c>
      <c r="U99" s="1">
        <v>45961</v>
      </c>
      <c r="W99" s="5">
        <f ca="1">+(TODAY()-Tabla2[[#This Row],[FECHA DE NACIMIENTO]])/360</f>
        <v>128.05833333333334</v>
      </c>
    </row>
    <row r="100" spans="1:23" x14ac:dyDescent="0.45">
      <c r="A100" t="s">
        <v>23</v>
      </c>
      <c r="B100" t="s">
        <v>131</v>
      </c>
      <c r="C100" t="s">
        <v>89</v>
      </c>
      <c r="D100" s="1">
        <v>45595</v>
      </c>
      <c r="E100" t="s">
        <v>243</v>
      </c>
      <c r="F100" t="s">
        <v>244</v>
      </c>
      <c r="G100" t="s">
        <v>28</v>
      </c>
      <c r="H100" t="s">
        <v>29</v>
      </c>
      <c r="I100" t="s">
        <v>245</v>
      </c>
      <c r="J100" t="s">
        <v>246</v>
      </c>
      <c r="K100" t="s">
        <v>247</v>
      </c>
      <c r="L100">
        <v>945523781</v>
      </c>
      <c r="M100" t="s">
        <v>33</v>
      </c>
      <c r="N100" t="s">
        <v>34</v>
      </c>
      <c r="O100" t="s">
        <v>58</v>
      </c>
      <c r="P100" t="s">
        <v>66</v>
      </c>
      <c r="Q100">
        <v>91970194628</v>
      </c>
      <c r="R100" t="s">
        <v>37</v>
      </c>
      <c r="S100" t="s">
        <v>38</v>
      </c>
      <c r="T100" t="s">
        <v>39</v>
      </c>
      <c r="U100" s="1">
        <v>45961</v>
      </c>
      <c r="W100" s="5">
        <f ca="1">+(TODAY()-Tabla2[[#This Row],[FECHA DE NACIMIENTO]])/360</f>
        <v>128.05833333333334</v>
      </c>
    </row>
    <row r="101" spans="1:23" x14ac:dyDescent="0.45">
      <c r="A101" t="s">
        <v>23</v>
      </c>
      <c r="B101" t="s">
        <v>88</v>
      </c>
      <c r="C101" t="s">
        <v>89</v>
      </c>
      <c r="D101" s="1">
        <v>45595</v>
      </c>
      <c r="E101" t="s">
        <v>248</v>
      </c>
      <c r="F101" t="s">
        <v>249</v>
      </c>
      <c r="G101" t="s">
        <v>42</v>
      </c>
      <c r="H101" t="s">
        <v>69</v>
      </c>
      <c r="I101" t="s">
        <v>250</v>
      </c>
      <c r="J101" t="s">
        <v>71</v>
      </c>
      <c r="K101" t="s">
        <v>251</v>
      </c>
      <c r="L101">
        <v>981384854</v>
      </c>
      <c r="M101" t="s">
        <v>33</v>
      </c>
      <c r="N101" t="s">
        <v>34</v>
      </c>
      <c r="O101" t="s">
        <v>58</v>
      </c>
      <c r="P101" t="s">
        <v>66</v>
      </c>
      <c r="Q101">
        <v>222762685</v>
      </c>
      <c r="R101" t="s">
        <v>37</v>
      </c>
      <c r="S101" t="s">
        <v>38</v>
      </c>
      <c r="T101" t="s">
        <v>39</v>
      </c>
      <c r="U101" s="1">
        <v>45961</v>
      </c>
      <c r="W101" s="5">
        <f ca="1">+(TODAY()-Tabla2[[#This Row],[FECHA DE NACIMIENTO]])/360</f>
        <v>128.05833333333334</v>
      </c>
    </row>
    <row r="102" spans="1:23" x14ac:dyDescent="0.45">
      <c r="A102" t="s">
        <v>23</v>
      </c>
      <c r="B102" t="s">
        <v>217</v>
      </c>
      <c r="C102" t="s">
        <v>89</v>
      </c>
      <c r="D102" s="1">
        <v>45595</v>
      </c>
      <c r="E102" t="s">
        <v>252</v>
      </c>
      <c r="F102" t="s">
        <v>253</v>
      </c>
      <c r="G102" t="s">
        <v>42</v>
      </c>
      <c r="H102" t="s">
        <v>69</v>
      </c>
      <c r="I102" t="s">
        <v>254</v>
      </c>
      <c r="J102" t="s">
        <v>45</v>
      </c>
      <c r="K102" t="s">
        <v>255</v>
      </c>
      <c r="L102">
        <v>983620659</v>
      </c>
      <c r="M102" t="s">
        <v>33</v>
      </c>
      <c r="N102" t="s">
        <v>136</v>
      </c>
      <c r="O102" t="s">
        <v>35</v>
      </c>
      <c r="P102" t="s">
        <v>36</v>
      </c>
      <c r="Q102">
        <v>86820668</v>
      </c>
      <c r="R102" t="s">
        <v>37</v>
      </c>
      <c r="S102" t="s">
        <v>38</v>
      </c>
      <c r="T102" t="s">
        <v>39</v>
      </c>
      <c r="U102" s="1">
        <v>45961</v>
      </c>
      <c r="W102" s="5">
        <f ca="1">+(TODAY()-Tabla2[[#This Row],[FECHA DE NACIMIENTO]])/360</f>
        <v>128.05833333333334</v>
      </c>
    </row>
    <row r="103" spans="1:23" x14ac:dyDescent="0.45">
      <c r="A103" t="s">
        <v>23</v>
      </c>
      <c r="B103" t="s">
        <v>206</v>
      </c>
      <c r="C103" t="s">
        <v>89</v>
      </c>
      <c r="D103" s="1">
        <v>45595</v>
      </c>
      <c r="E103" t="s">
        <v>256</v>
      </c>
      <c r="F103" t="s">
        <v>257</v>
      </c>
      <c r="G103" t="s">
        <v>28</v>
      </c>
      <c r="H103" t="s">
        <v>69</v>
      </c>
      <c r="I103" t="s">
        <v>258</v>
      </c>
      <c r="J103" t="s">
        <v>259</v>
      </c>
      <c r="K103" t="s">
        <v>260</v>
      </c>
      <c r="L103">
        <v>932112607</v>
      </c>
      <c r="M103" t="s">
        <v>33</v>
      </c>
      <c r="N103" t="s">
        <v>34</v>
      </c>
      <c r="O103" t="s">
        <v>58</v>
      </c>
      <c r="P103" t="s">
        <v>66</v>
      </c>
      <c r="Q103">
        <v>146300278</v>
      </c>
      <c r="R103" t="s">
        <v>37</v>
      </c>
      <c r="S103" t="s">
        <v>38</v>
      </c>
      <c r="T103" t="s">
        <v>39</v>
      </c>
      <c r="U103" s="1">
        <v>45961</v>
      </c>
      <c r="W103" s="5">
        <f ca="1">+(TODAY()-Tabla2[[#This Row],[FECHA DE NACIMIENTO]])/360</f>
        <v>128.05833333333334</v>
      </c>
    </row>
    <row r="104" spans="1:23" x14ac:dyDescent="0.45">
      <c r="A104" t="s">
        <v>23</v>
      </c>
      <c r="B104" t="s">
        <v>108</v>
      </c>
      <c r="C104" t="s">
        <v>89</v>
      </c>
      <c r="D104" s="1">
        <v>45595</v>
      </c>
      <c r="E104" t="s">
        <v>261</v>
      </c>
      <c r="F104" t="s">
        <v>262</v>
      </c>
      <c r="G104" t="s">
        <v>28</v>
      </c>
      <c r="H104" t="s">
        <v>29</v>
      </c>
      <c r="I104" t="s">
        <v>263</v>
      </c>
      <c r="J104" t="s">
        <v>204</v>
      </c>
      <c r="K104" t="s">
        <v>264</v>
      </c>
      <c r="L104">
        <v>972257673</v>
      </c>
      <c r="M104" t="s">
        <v>33</v>
      </c>
      <c r="N104" t="s">
        <v>57</v>
      </c>
      <c r="O104" t="s">
        <v>58</v>
      </c>
      <c r="P104" t="s">
        <v>48</v>
      </c>
      <c r="Q104">
        <v>326519024</v>
      </c>
      <c r="R104" t="s">
        <v>37</v>
      </c>
      <c r="S104" t="s">
        <v>38</v>
      </c>
      <c r="T104" t="s">
        <v>39</v>
      </c>
      <c r="U104" s="1">
        <v>45961</v>
      </c>
      <c r="W104" s="5">
        <f ca="1">+(TODAY()-Tabla2[[#This Row],[FECHA DE NACIMIENTO]])/360</f>
        <v>128.05833333333334</v>
      </c>
    </row>
    <row r="105" spans="1:23" x14ac:dyDescent="0.45">
      <c r="A105" t="s">
        <v>23</v>
      </c>
      <c r="B105" t="s">
        <v>88</v>
      </c>
      <c r="C105" t="s">
        <v>89</v>
      </c>
      <c r="D105" s="1">
        <v>45595</v>
      </c>
      <c r="E105" t="s">
        <v>265</v>
      </c>
      <c r="F105" t="s">
        <v>266</v>
      </c>
      <c r="G105" t="s">
        <v>42</v>
      </c>
      <c r="H105" t="s">
        <v>267</v>
      </c>
      <c r="I105" t="s">
        <v>268</v>
      </c>
      <c r="J105" t="s">
        <v>142</v>
      </c>
      <c r="K105" t="s">
        <v>269</v>
      </c>
      <c r="L105">
        <v>944003289</v>
      </c>
      <c r="M105" t="s">
        <v>33</v>
      </c>
      <c r="N105" t="s">
        <v>34</v>
      </c>
      <c r="O105" t="s">
        <v>58</v>
      </c>
      <c r="P105" t="s">
        <v>66</v>
      </c>
      <c r="Q105">
        <v>13682663</v>
      </c>
      <c r="R105" t="s">
        <v>37</v>
      </c>
      <c r="S105" t="s">
        <v>38</v>
      </c>
      <c r="T105" t="s">
        <v>39</v>
      </c>
      <c r="U105" s="1">
        <v>45777</v>
      </c>
      <c r="W105" s="5">
        <f ca="1">+(TODAY()-Tabla2[[#This Row],[FECHA DE NACIMIENTO]])/360</f>
        <v>128.05833333333334</v>
      </c>
    </row>
    <row r="106" spans="1:23" x14ac:dyDescent="0.45">
      <c r="A106" t="s">
        <v>23</v>
      </c>
      <c r="B106" t="s">
        <v>206</v>
      </c>
      <c r="C106" t="s">
        <v>89</v>
      </c>
      <c r="D106" s="1">
        <v>45595</v>
      </c>
      <c r="E106" t="s">
        <v>270</v>
      </c>
      <c r="F106" t="s">
        <v>271</v>
      </c>
      <c r="G106" t="s">
        <v>28</v>
      </c>
      <c r="H106" t="s">
        <v>69</v>
      </c>
      <c r="I106" t="s">
        <v>272</v>
      </c>
      <c r="J106" t="s">
        <v>158</v>
      </c>
      <c r="K106" t="s">
        <v>273</v>
      </c>
      <c r="L106">
        <v>950998820</v>
      </c>
      <c r="M106" t="s">
        <v>33</v>
      </c>
      <c r="N106" t="s">
        <v>34</v>
      </c>
      <c r="O106" t="s">
        <v>58</v>
      </c>
      <c r="P106" t="s">
        <v>66</v>
      </c>
      <c r="Q106">
        <v>16340769</v>
      </c>
      <c r="R106" t="s">
        <v>37</v>
      </c>
      <c r="S106" t="s">
        <v>38</v>
      </c>
      <c r="T106" t="s">
        <v>39</v>
      </c>
      <c r="U106" s="1">
        <v>45777</v>
      </c>
      <c r="W106" s="5">
        <f ca="1">+(TODAY()-Tabla2[[#This Row],[FECHA DE NACIMIENTO]])/360</f>
        <v>128.05833333333334</v>
      </c>
    </row>
    <row r="107" spans="1:23" x14ac:dyDescent="0.45">
      <c r="A107" t="s">
        <v>23</v>
      </c>
      <c r="B107" t="s">
        <v>236</v>
      </c>
      <c r="C107" t="s">
        <v>89</v>
      </c>
      <c r="D107" s="1">
        <v>45595</v>
      </c>
      <c r="E107" t="s">
        <v>274</v>
      </c>
      <c r="F107" t="s">
        <v>275</v>
      </c>
      <c r="G107" t="s">
        <v>28</v>
      </c>
      <c r="H107" t="s">
        <v>276</v>
      </c>
      <c r="I107" t="s">
        <v>277</v>
      </c>
      <c r="J107" t="s">
        <v>278</v>
      </c>
      <c r="K107" t="s">
        <v>279</v>
      </c>
      <c r="L107">
        <v>983494546</v>
      </c>
      <c r="M107" t="s">
        <v>33</v>
      </c>
      <c r="N107" t="s">
        <v>34</v>
      </c>
      <c r="O107" t="s">
        <v>58</v>
      </c>
      <c r="P107" t="s">
        <v>66</v>
      </c>
      <c r="Q107">
        <v>175790810</v>
      </c>
      <c r="R107" t="s">
        <v>37</v>
      </c>
      <c r="S107" t="s">
        <v>38</v>
      </c>
      <c r="T107" t="s">
        <v>39</v>
      </c>
      <c r="U107" s="1">
        <v>45961</v>
      </c>
      <c r="W107" s="5">
        <f ca="1">+(TODAY()-Tabla2[[#This Row],[FECHA DE NACIMIENTO]])/360</f>
        <v>128.05833333333334</v>
      </c>
    </row>
    <row r="108" spans="1:23" x14ac:dyDescent="0.45">
      <c r="A108" t="s">
        <v>23</v>
      </c>
      <c r="B108" t="s">
        <v>217</v>
      </c>
      <c r="C108" t="s">
        <v>89</v>
      </c>
      <c r="D108" s="1">
        <v>45595</v>
      </c>
      <c r="E108" t="s">
        <v>280</v>
      </c>
      <c r="F108" t="s">
        <v>281</v>
      </c>
      <c r="G108" t="s">
        <v>42</v>
      </c>
      <c r="H108" t="s">
        <v>282</v>
      </c>
      <c r="I108" t="s">
        <v>283</v>
      </c>
      <c r="J108" t="s">
        <v>45</v>
      </c>
      <c r="K108" t="s">
        <v>284</v>
      </c>
      <c r="L108">
        <v>972122920</v>
      </c>
      <c r="M108" t="s">
        <v>33</v>
      </c>
      <c r="N108" t="s">
        <v>34</v>
      </c>
      <c r="O108" t="s">
        <v>58</v>
      </c>
      <c r="P108" t="s">
        <v>66</v>
      </c>
      <c r="Q108">
        <v>17386267</v>
      </c>
      <c r="R108" t="s">
        <v>37</v>
      </c>
      <c r="S108" t="s">
        <v>38</v>
      </c>
      <c r="T108" t="s">
        <v>39</v>
      </c>
      <c r="U108" s="1">
        <v>45961</v>
      </c>
      <c r="W108" s="5">
        <f ca="1">+(TODAY()-Tabla2[[#This Row],[FECHA DE NACIMIENTO]])/360</f>
        <v>128.05833333333334</v>
      </c>
    </row>
    <row r="109" spans="1:23" x14ac:dyDescent="0.45">
      <c r="A109" t="s">
        <v>23</v>
      </c>
      <c r="B109" t="s">
        <v>194</v>
      </c>
      <c r="C109" t="s">
        <v>89</v>
      </c>
      <c r="D109" s="1">
        <v>45595</v>
      </c>
      <c r="E109" t="s">
        <v>285</v>
      </c>
      <c r="F109" t="s">
        <v>286</v>
      </c>
      <c r="G109" t="s">
        <v>42</v>
      </c>
      <c r="H109" t="s">
        <v>287</v>
      </c>
      <c r="I109" t="s">
        <v>288</v>
      </c>
      <c r="J109" t="s">
        <v>45</v>
      </c>
      <c r="K109" t="s">
        <v>289</v>
      </c>
      <c r="L109">
        <v>994197613</v>
      </c>
      <c r="M109" t="s">
        <v>33</v>
      </c>
      <c r="N109" t="s">
        <v>57</v>
      </c>
      <c r="O109" t="s">
        <v>58</v>
      </c>
      <c r="P109" t="s">
        <v>66</v>
      </c>
      <c r="Q109">
        <v>268875298</v>
      </c>
      <c r="R109" t="s">
        <v>37</v>
      </c>
      <c r="S109" t="s">
        <v>38</v>
      </c>
      <c r="T109" t="s">
        <v>39</v>
      </c>
      <c r="U109" s="1">
        <v>45961</v>
      </c>
      <c r="W109" s="5">
        <f ca="1">+(TODAY()-Tabla2[[#This Row],[FECHA DE NACIMIENTO]])/360</f>
        <v>128.05833333333334</v>
      </c>
    </row>
    <row r="110" spans="1:23" x14ac:dyDescent="0.45">
      <c r="A110" t="s">
        <v>23</v>
      </c>
      <c r="B110" t="s">
        <v>88</v>
      </c>
      <c r="C110" t="s">
        <v>89</v>
      </c>
      <c r="D110" s="1">
        <v>45595</v>
      </c>
      <c r="E110" t="s">
        <v>290</v>
      </c>
      <c r="F110" t="s">
        <v>291</v>
      </c>
      <c r="G110" t="s">
        <v>42</v>
      </c>
      <c r="H110" t="s">
        <v>69</v>
      </c>
      <c r="I110" t="s">
        <v>292</v>
      </c>
      <c r="J110" t="s">
        <v>79</v>
      </c>
      <c r="K110" t="s">
        <v>293</v>
      </c>
      <c r="L110">
        <v>998061816</v>
      </c>
      <c r="M110" t="s">
        <v>33</v>
      </c>
      <c r="N110" t="s">
        <v>34</v>
      </c>
      <c r="O110" t="s">
        <v>35</v>
      </c>
      <c r="P110" t="s">
        <v>82</v>
      </c>
      <c r="Q110">
        <v>19997722024</v>
      </c>
      <c r="R110" t="s">
        <v>37</v>
      </c>
      <c r="S110" t="s">
        <v>38</v>
      </c>
      <c r="T110" t="s">
        <v>39</v>
      </c>
      <c r="U110" s="1">
        <v>45961</v>
      </c>
      <c r="W110" s="5">
        <f ca="1">+(TODAY()-Tabla2[[#This Row],[FECHA DE NACIMIENTO]])/360</f>
        <v>128.05833333333334</v>
      </c>
    </row>
    <row r="111" spans="1:23" x14ac:dyDescent="0.45">
      <c r="A111" t="s">
        <v>23</v>
      </c>
      <c r="B111" t="s">
        <v>194</v>
      </c>
      <c r="C111" t="s">
        <v>89</v>
      </c>
      <c r="D111" s="1">
        <v>45595</v>
      </c>
      <c r="E111" t="s">
        <v>294</v>
      </c>
      <c r="F111" t="s">
        <v>295</v>
      </c>
      <c r="G111" t="s">
        <v>28</v>
      </c>
      <c r="H111" t="s">
        <v>296</v>
      </c>
      <c r="I111" t="s">
        <v>297</v>
      </c>
      <c r="J111" t="s">
        <v>278</v>
      </c>
      <c r="K111" t="s">
        <v>298</v>
      </c>
      <c r="L111">
        <v>983915798</v>
      </c>
      <c r="M111" t="s">
        <v>33</v>
      </c>
      <c r="N111" t="s">
        <v>34</v>
      </c>
      <c r="O111" t="s">
        <v>58</v>
      </c>
      <c r="P111" t="s">
        <v>66</v>
      </c>
      <c r="Q111">
        <v>18498831</v>
      </c>
      <c r="R111" t="s">
        <v>37</v>
      </c>
      <c r="S111" t="s">
        <v>38</v>
      </c>
      <c r="T111" t="s">
        <v>74</v>
      </c>
      <c r="U111" s="1">
        <v>45961</v>
      </c>
      <c r="W111" s="5">
        <f ca="1">+(TODAY()-Tabla2[[#This Row],[FECHA DE NACIMIENTO]])/360</f>
        <v>128.05833333333334</v>
      </c>
    </row>
    <row r="112" spans="1:23" x14ac:dyDescent="0.45">
      <c r="A112" t="s">
        <v>23</v>
      </c>
      <c r="B112" t="s">
        <v>299</v>
      </c>
      <c r="C112" t="s">
        <v>89</v>
      </c>
      <c r="D112" s="1">
        <v>45595</v>
      </c>
      <c r="E112" t="s">
        <v>300</v>
      </c>
      <c r="F112" t="s">
        <v>301</v>
      </c>
      <c r="G112" t="s">
        <v>28</v>
      </c>
      <c r="H112" t="s">
        <v>302</v>
      </c>
      <c r="I112" t="s">
        <v>303</v>
      </c>
      <c r="J112" t="s">
        <v>71</v>
      </c>
      <c r="K112" t="s">
        <v>304</v>
      </c>
      <c r="L112">
        <v>942182889</v>
      </c>
      <c r="M112" t="s">
        <v>33</v>
      </c>
      <c r="N112" t="s">
        <v>34</v>
      </c>
      <c r="O112" t="s">
        <v>58</v>
      </c>
      <c r="P112" t="s">
        <v>305</v>
      </c>
      <c r="Q112">
        <v>19230733</v>
      </c>
      <c r="R112" t="s">
        <v>37</v>
      </c>
      <c r="S112" t="s">
        <v>38</v>
      </c>
      <c r="T112" t="s">
        <v>39</v>
      </c>
      <c r="U112" s="1">
        <v>45961</v>
      </c>
      <c r="W112" s="5">
        <f ca="1">+(TODAY()-Tabla2[[#This Row],[FECHA DE NACIMIENTO]])/360</f>
        <v>128.05833333333334</v>
      </c>
    </row>
    <row r="113" spans="1:23" x14ac:dyDescent="0.45">
      <c r="A113" t="s">
        <v>23</v>
      </c>
      <c r="B113" t="s">
        <v>306</v>
      </c>
      <c r="C113" t="s">
        <v>89</v>
      </c>
      <c r="D113" s="1">
        <v>45595</v>
      </c>
      <c r="E113" t="s">
        <v>307</v>
      </c>
      <c r="F113" t="s">
        <v>308</v>
      </c>
      <c r="G113" t="s">
        <v>42</v>
      </c>
      <c r="H113" t="s">
        <v>267</v>
      </c>
      <c r="I113" t="s">
        <v>309</v>
      </c>
      <c r="J113" t="s">
        <v>310</v>
      </c>
      <c r="K113" t="s">
        <v>311</v>
      </c>
      <c r="L113">
        <v>974605980</v>
      </c>
      <c r="M113" t="s">
        <v>33</v>
      </c>
      <c r="N113" t="s">
        <v>34</v>
      </c>
      <c r="O113" t="s">
        <v>58</v>
      </c>
      <c r="P113" t="s">
        <v>66</v>
      </c>
      <c r="Q113">
        <v>205807179</v>
      </c>
      <c r="R113" t="s">
        <v>37</v>
      </c>
      <c r="S113" t="s">
        <v>38</v>
      </c>
      <c r="T113" t="s">
        <v>39</v>
      </c>
      <c r="U113" s="1">
        <v>45961</v>
      </c>
      <c r="W113" s="5">
        <f ca="1">+(TODAY()-Tabla2[[#This Row],[FECHA DE NACIMIENTO]])/360</f>
        <v>128.05833333333334</v>
      </c>
    </row>
    <row r="114" spans="1:23" x14ac:dyDescent="0.45">
      <c r="A114" t="s">
        <v>23</v>
      </c>
      <c r="B114" t="s">
        <v>88</v>
      </c>
      <c r="C114" t="s">
        <v>89</v>
      </c>
      <c r="D114" s="1">
        <v>45595</v>
      </c>
      <c r="E114" t="s">
        <v>312</v>
      </c>
      <c r="F114" t="s">
        <v>313</v>
      </c>
      <c r="G114" t="s">
        <v>42</v>
      </c>
      <c r="H114" t="s">
        <v>314</v>
      </c>
      <c r="I114" t="s">
        <v>315</v>
      </c>
      <c r="J114" t="s">
        <v>316</v>
      </c>
      <c r="K114" t="s">
        <v>317</v>
      </c>
      <c r="L114">
        <v>992957698</v>
      </c>
      <c r="M114" t="s">
        <v>33</v>
      </c>
      <c r="N114" t="s">
        <v>34</v>
      </c>
      <c r="O114" t="s">
        <v>35</v>
      </c>
      <c r="P114" t="s">
        <v>73</v>
      </c>
      <c r="Q114">
        <v>4013601808</v>
      </c>
      <c r="R114" t="s">
        <v>37</v>
      </c>
      <c r="S114" t="s">
        <v>318</v>
      </c>
      <c r="T114" t="s">
        <v>39</v>
      </c>
      <c r="U114" s="1">
        <v>45777</v>
      </c>
      <c r="W114" s="5">
        <f ca="1">+(TODAY()-Tabla2[[#This Row],[FECHA DE NACIMIENTO]])/360</f>
        <v>128.05833333333334</v>
      </c>
    </row>
    <row r="115" spans="1:23" x14ac:dyDescent="0.45">
      <c r="A115" t="s">
        <v>23</v>
      </c>
      <c r="B115" t="s">
        <v>319</v>
      </c>
      <c r="C115" t="s">
        <v>89</v>
      </c>
      <c r="D115" s="1">
        <v>45595</v>
      </c>
      <c r="E115" t="s">
        <v>320</v>
      </c>
      <c r="F115" t="s">
        <v>321</v>
      </c>
      <c r="G115" t="s">
        <v>42</v>
      </c>
      <c r="H115" t="s">
        <v>69</v>
      </c>
      <c r="I115" t="s">
        <v>322</v>
      </c>
      <c r="J115" t="s">
        <v>323</v>
      </c>
      <c r="K115" t="s">
        <v>324</v>
      </c>
      <c r="L115">
        <v>965423265</v>
      </c>
      <c r="M115" t="s">
        <v>33</v>
      </c>
      <c r="N115" t="s">
        <v>34</v>
      </c>
      <c r="O115" t="s">
        <v>58</v>
      </c>
      <c r="P115" t="s">
        <v>66</v>
      </c>
      <c r="Q115">
        <v>216151011</v>
      </c>
      <c r="R115" t="s">
        <v>37</v>
      </c>
      <c r="S115" t="s">
        <v>38</v>
      </c>
      <c r="T115" t="s">
        <v>39</v>
      </c>
      <c r="U115" s="1">
        <v>45961</v>
      </c>
      <c r="W115" s="5">
        <f ca="1">+(TODAY()-Tabla2[[#This Row],[FECHA DE NACIMIENTO]])/360</f>
        <v>128.05833333333334</v>
      </c>
    </row>
    <row r="116" spans="1:23" x14ac:dyDescent="0.45">
      <c r="A116" t="s">
        <v>23</v>
      </c>
      <c r="B116" t="s">
        <v>108</v>
      </c>
      <c r="C116" t="s">
        <v>89</v>
      </c>
      <c r="D116" s="1">
        <v>45595</v>
      </c>
      <c r="E116" t="s">
        <v>325</v>
      </c>
      <c r="F116" t="s">
        <v>326</v>
      </c>
      <c r="G116" t="s">
        <v>28</v>
      </c>
      <c r="H116" t="s">
        <v>327</v>
      </c>
      <c r="I116" t="s">
        <v>328</v>
      </c>
      <c r="J116" t="s">
        <v>54</v>
      </c>
      <c r="K116" t="s">
        <v>329</v>
      </c>
      <c r="L116">
        <v>975322579</v>
      </c>
      <c r="M116" t="s">
        <v>33</v>
      </c>
      <c r="N116" t="s">
        <v>34</v>
      </c>
      <c r="O116" t="s">
        <v>35</v>
      </c>
      <c r="P116" t="s">
        <v>82</v>
      </c>
      <c r="Q116">
        <v>18800226500</v>
      </c>
      <c r="R116" t="s">
        <v>37</v>
      </c>
      <c r="S116" t="s">
        <v>38</v>
      </c>
      <c r="T116" t="s">
        <v>39</v>
      </c>
      <c r="U116" s="1">
        <v>45961</v>
      </c>
      <c r="W116" s="5">
        <f ca="1">+(TODAY()-Tabla2[[#This Row],[FECHA DE NACIMIENTO]])/360</f>
        <v>128.05833333333334</v>
      </c>
    </row>
    <row r="117" spans="1:23" x14ac:dyDescent="0.45">
      <c r="A117" t="s">
        <v>23</v>
      </c>
      <c r="B117" t="s">
        <v>131</v>
      </c>
      <c r="C117" t="s">
        <v>89</v>
      </c>
      <c r="D117" s="1">
        <v>45595</v>
      </c>
      <c r="E117" t="s">
        <v>330</v>
      </c>
      <c r="F117" t="s">
        <v>331</v>
      </c>
      <c r="G117" t="s">
        <v>28</v>
      </c>
      <c r="H117" t="s">
        <v>332</v>
      </c>
      <c r="I117" t="s">
        <v>333</v>
      </c>
      <c r="J117" t="s">
        <v>142</v>
      </c>
      <c r="K117" t="s">
        <v>334</v>
      </c>
      <c r="L117">
        <v>988618375</v>
      </c>
      <c r="M117" t="s">
        <v>33</v>
      </c>
      <c r="N117" t="s">
        <v>34</v>
      </c>
      <c r="O117" t="s">
        <v>35</v>
      </c>
      <c r="P117" t="s">
        <v>96</v>
      </c>
      <c r="Q117">
        <v>777916198382</v>
      </c>
      <c r="R117" t="s">
        <v>37</v>
      </c>
      <c r="S117" t="s">
        <v>38</v>
      </c>
      <c r="T117" t="s">
        <v>39</v>
      </c>
      <c r="U117" s="1">
        <v>45961</v>
      </c>
      <c r="W117" s="5">
        <f ca="1">+(TODAY()-Tabla2[[#This Row],[FECHA DE NACIMIENTO]])/360</f>
        <v>128.05833333333334</v>
      </c>
    </row>
    <row r="118" spans="1:23" x14ac:dyDescent="0.45">
      <c r="A118" t="s">
        <v>23</v>
      </c>
      <c r="B118" t="s">
        <v>88</v>
      </c>
      <c r="C118" t="s">
        <v>89</v>
      </c>
      <c r="D118" s="1">
        <v>45595</v>
      </c>
      <c r="E118" t="s">
        <v>335</v>
      </c>
      <c r="F118" t="s">
        <v>336</v>
      </c>
      <c r="G118" t="s">
        <v>28</v>
      </c>
      <c r="H118" t="s">
        <v>69</v>
      </c>
      <c r="I118" t="s">
        <v>337</v>
      </c>
      <c r="J118" t="s">
        <v>338</v>
      </c>
      <c r="K118" t="s">
        <v>339</v>
      </c>
      <c r="L118">
        <v>927493506</v>
      </c>
      <c r="M118" t="s">
        <v>33</v>
      </c>
      <c r="N118" t="s">
        <v>34</v>
      </c>
      <c r="O118" t="s">
        <v>58</v>
      </c>
      <c r="P118" t="s">
        <v>66</v>
      </c>
      <c r="Q118">
        <v>15347585</v>
      </c>
      <c r="R118" t="s">
        <v>37</v>
      </c>
      <c r="S118" t="s">
        <v>38</v>
      </c>
      <c r="T118" t="s">
        <v>39</v>
      </c>
      <c r="U118" s="1">
        <v>45961</v>
      </c>
      <c r="W118" s="5">
        <f ca="1">+(TODAY()-Tabla2[[#This Row],[FECHA DE NACIMIENTO]])/360</f>
        <v>128.05833333333334</v>
      </c>
    </row>
    <row r="119" spans="1:23" x14ac:dyDescent="0.45">
      <c r="A119" t="s">
        <v>23</v>
      </c>
      <c r="B119" t="s">
        <v>206</v>
      </c>
      <c r="C119" t="s">
        <v>89</v>
      </c>
      <c r="D119" s="1">
        <v>45595</v>
      </c>
      <c r="E119" t="s">
        <v>340</v>
      </c>
      <c r="F119" t="s">
        <v>341</v>
      </c>
      <c r="G119" t="s">
        <v>28</v>
      </c>
      <c r="H119" t="s">
        <v>69</v>
      </c>
      <c r="I119" t="s">
        <v>342</v>
      </c>
      <c r="J119" t="s">
        <v>310</v>
      </c>
      <c r="K119" t="s">
        <v>343</v>
      </c>
      <c r="L119">
        <v>965958451</v>
      </c>
      <c r="M119" t="s">
        <v>33</v>
      </c>
      <c r="N119" t="s">
        <v>34</v>
      </c>
      <c r="O119" t="s">
        <v>58</v>
      </c>
      <c r="P119" t="s">
        <v>66</v>
      </c>
      <c r="Q119">
        <v>173074816</v>
      </c>
      <c r="R119" t="s">
        <v>37</v>
      </c>
      <c r="S119" t="s">
        <v>38</v>
      </c>
      <c r="T119" t="s">
        <v>39</v>
      </c>
      <c r="U119" s="1">
        <v>45961</v>
      </c>
      <c r="W119" s="5">
        <f ca="1">+(TODAY()-Tabla2[[#This Row],[FECHA DE NACIMIENTO]])/360</f>
        <v>128.05833333333334</v>
      </c>
    </row>
    <row r="120" spans="1:23" x14ac:dyDescent="0.45">
      <c r="A120" t="s">
        <v>23</v>
      </c>
      <c r="B120" t="s">
        <v>217</v>
      </c>
      <c r="C120" t="s">
        <v>89</v>
      </c>
      <c r="D120" s="1">
        <v>45595</v>
      </c>
      <c r="E120" t="s">
        <v>344</v>
      </c>
      <c r="F120" t="s">
        <v>345</v>
      </c>
      <c r="G120" t="s">
        <v>28</v>
      </c>
      <c r="H120" t="s">
        <v>69</v>
      </c>
      <c r="I120" t="s">
        <v>346</v>
      </c>
      <c r="J120" t="s">
        <v>94</v>
      </c>
      <c r="K120" t="s">
        <v>347</v>
      </c>
      <c r="L120">
        <v>942915352</v>
      </c>
      <c r="M120" t="s">
        <v>33</v>
      </c>
      <c r="N120" t="s">
        <v>34</v>
      </c>
      <c r="O120" t="s">
        <v>58</v>
      </c>
      <c r="P120" t="s">
        <v>66</v>
      </c>
      <c r="Q120">
        <v>146950086</v>
      </c>
      <c r="R120" t="s">
        <v>37</v>
      </c>
      <c r="S120" t="s">
        <v>38</v>
      </c>
      <c r="T120" t="s">
        <v>39</v>
      </c>
      <c r="U120" s="1">
        <v>45961</v>
      </c>
      <c r="W120" s="5">
        <f ca="1">+(TODAY()-Tabla2[[#This Row],[FECHA DE NACIMIENTO]])/360</f>
        <v>128.05833333333334</v>
      </c>
    </row>
    <row r="121" spans="1:23" x14ac:dyDescent="0.45">
      <c r="A121" t="s">
        <v>23</v>
      </c>
      <c r="B121" t="s">
        <v>299</v>
      </c>
      <c r="C121" t="s">
        <v>89</v>
      </c>
      <c r="D121" s="1">
        <v>45595</v>
      </c>
      <c r="E121" t="s">
        <v>348</v>
      </c>
      <c r="F121" t="s">
        <v>349</v>
      </c>
      <c r="G121" t="s">
        <v>42</v>
      </c>
      <c r="H121" t="s">
        <v>69</v>
      </c>
      <c r="I121" t="s">
        <v>350</v>
      </c>
      <c r="J121" t="s">
        <v>79</v>
      </c>
      <c r="K121" t="s">
        <v>351</v>
      </c>
      <c r="L121">
        <v>948585746</v>
      </c>
      <c r="M121" t="s">
        <v>33</v>
      </c>
      <c r="N121" t="s">
        <v>34</v>
      </c>
      <c r="O121" t="s">
        <v>58</v>
      </c>
      <c r="P121" t="s">
        <v>66</v>
      </c>
      <c r="Q121">
        <v>197073098</v>
      </c>
      <c r="R121" t="s">
        <v>37</v>
      </c>
      <c r="S121" t="s">
        <v>38</v>
      </c>
      <c r="T121" t="s">
        <v>39</v>
      </c>
      <c r="U121" s="1">
        <v>45961</v>
      </c>
      <c r="W121" s="5">
        <f ca="1">+(TODAY()-Tabla2[[#This Row],[FECHA DE NACIMIENTO]])/360</f>
        <v>128.05833333333334</v>
      </c>
    </row>
    <row r="122" spans="1:23" x14ac:dyDescent="0.45">
      <c r="A122" t="s">
        <v>23</v>
      </c>
      <c r="B122" t="s">
        <v>131</v>
      </c>
      <c r="C122" t="s">
        <v>89</v>
      </c>
      <c r="D122" s="1">
        <v>45595</v>
      </c>
      <c r="E122" t="s">
        <v>352</v>
      </c>
      <c r="F122" t="s">
        <v>353</v>
      </c>
      <c r="G122" t="s">
        <v>42</v>
      </c>
      <c r="H122" t="s">
        <v>354</v>
      </c>
      <c r="I122" t="s">
        <v>355</v>
      </c>
      <c r="J122" t="s">
        <v>204</v>
      </c>
      <c r="K122" t="s">
        <v>356</v>
      </c>
      <c r="L122">
        <v>934976468</v>
      </c>
      <c r="M122" t="s">
        <v>33</v>
      </c>
      <c r="N122" t="s">
        <v>34</v>
      </c>
      <c r="O122" t="s">
        <v>58</v>
      </c>
      <c r="P122" t="s">
        <v>66</v>
      </c>
      <c r="Q122">
        <v>15458955</v>
      </c>
      <c r="R122" t="s">
        <v>37</v>
      </c>
      <c r="S122" t="s">
        <v>137</v>
      </c>
      <c r="T122" t="s">
        <v>39</v>
      </c>
      <c r="U122" s="1">
        <v>45961</v>
      </c>
      <c r="W122" s="5">
        <f ca="1">+(TODAY()-Tabla2[[#This Row],[FECHA DE NACIMIENTO]])/360</f>
        <v>128.05833333333334</v>
      </c>
    </row>
    <row r="123" spans="1:23" x14ac:dyDescent="0.45">
      <c r="A123" t="s">
        <v>23</v>
      </c>
      <c r="B123" t="s">
        <v>131</v>
      </c>
      <c r="C123" t="s">
        <v>89</v>
      </c>
      <c r="D123" s="1">
        <v>45595</v>
      </c>
      <c r="E123" t="s">
        <v>357</v>
      </c>
      <c r="F123" t="s">
        <v>358</v>
      </c>
      <c r="G123" t="s">
        <v>28</v>
      </c>
      <c r="H123" t="s">
        <v>29</v>
      </c>
      <c r="I123" t="s">
        <v>359</v>
      </c>
      <c r="J123" t="s">
        <v>158</v>
      </c>
      <c r="K123" t="s">
        <v>360</v>
      </c>
      <c r="L123">
        <v>989562630</v>
      </c>
      <c r="M123" t="s">
        <v>33</v>
      </c>
      <c r="N123" t="s">
        <v>57</v>
      </c>
      <c r="O123" t="s">
        <v>35</v>
      </c>
      <c r="P123" t="s">
        <v>82</v>
      </c>
      <c r="Q123">
        <v>13580071030</v>
      </c>
      <c r="R123" t="s">
        <v>37</v>
      </c>
      <c r="S123" t="s">
        <v>38</v>
      </c>
      <c r="T123" t="s">
        <v>39</v>
      </c>
      <c r="U123" s="1">
        <v>45961</v>
      </c>
      <c r="W123" s="5">
        <f ca="1">+(TODAY()-Tabla2[[#This Row],[FECHA DE NACIMIENTO]])/360</f>
        <v>128.05833333333334</v>
      </c>
    </row>
    <row r="124" spans="1:23" x14ac:dyDescent="0.45">
      <c r="A124" t="s">
        <v>23</v>
      </c>
      <c r="B124" t="s">
        <v>88</v>
      </c>
      <c r="C124" t="s">
        <v>89</v>
      </c>
      <c r="D124" s="1">
        <v>45595</v>
      </c>
      <c r="E124" t="s">
        <v>361</v>
      </c>
      <c r="F124" t="s">
        <v>362</v>
      </c>
      <c r="G124" t="s">
        <v>42</v>
      </c>
      <c r="H124" t="s">
        <v>69</v>
      </c>
      <c r="I124" t="s">
        <v>363</v>
      </c>
      <c r="J124" t="s">
        <v>364</v>
      </c>
      <c r="K124" t="s">
        <v>365</v>
      </c>
      <c r="L124">
        <v>950311215</v>
      </c>
      <c r="M124" t="s">
        <v>33</v>
      </c>
      <c r="N124" t="s">
        <v>34</v>
      </c>
      <c r="O124" t="s">
        <v>35</v>
      </c>
      <c r="P124" t="s">
        <v>82</v>
      </c>
      <c r="Q124">
        <v>19990477930</v>
      </c>
      <c r="R124" t="s">
        <v>37</v>
      </c>
      <c r="S124" t="s">
        <v>38</v>
      </c>
      <c r="T124" t="s">
        <v>39</v>
      </c>
      <c r="U124" s="1">
        <v>45961</v>
      </c>
      <c r="W124" s="5">
        <f ca="1">+(TODAY()-Tabla2[[#This Row],[FECHA DE NACIMIENTO]])/360</f>
        <v>128.05833333333334</v>
      </c>
    </row>
    <row r="125" spans="1:23" x14ac:dyDescent="0.45">
      <c r="A125" t="s">
        <v>23</v>
      </c>
      <c r="B125" t="s">
        <v>108</v>
      </c>
      <c r="C125" t="s">
        <v>89</v>
      </c>
      <c r="D125" s="1">
        <v>45595</v>
      </c>
      <c r="E125" t="s">
        <v>366</v>
      </c>
      <c r="F125" t="s">
        <v>367</v>
      </c>
      <c r="G125" t="s">
        <v>42</v>
      </c>
      <c r="H125" t="s">
        <v>368</v>
      </c>
      <c r="I125" t="s">
        <v>369</v>
      </c>
      <c r="J125" t="s">
        <v>370</v>
      </c>
      <c r="K125" t="s">
        <v>371</v>
      </c>
      <c r="L125">
        <v>976475092</v>
      </c>
      <c r="M125" t="s">
        <v>33</v>
      </c>
      <c r="N125" t="s">
        <v>34</v>
      </c>
      <c r="O125" t="s">
        <v>35</v>
      </c>
      <c r="P125" t="s">
        <v>82</v>
      </c>
      <c r="Q125">
        <v>19831570180</v>
      </c>
      <c r="R125" t="s">
        <v>37</v>
      </c>
      <c r="S125" t="s">
        <v>38</v>
      </c>
      <c r="T125" t="s">
        <v>39</v>
      </c>
      <c r="U125" s="1">
        <v>45961</v>
      </c>
      <c r="W125" s="5">
        <f ca="1">+(TODAY()-Tabla2[[#This Row],[FECHA DE NACIMIENTO]])/360</f>
        <v>128.05833333333334</v>
      </c>
    </row>
    <row r="126" spans="1:23" x14ac:dyDescent="0.45">
      <c r="A126" t="s">
        <v>23</v>
      </c>
      <c r="B126" t="s">
        <v>299</v>
      </c>
      <c r="C126" t="s">
        <v>89</v>
      </c>
      <c r="D126" s="1">
        <v>45595</v>
      </c>
      <c r="E126" t="s">
        <v>372</v>
      </c>
      <c r="F126" t="s">
        <v>373</v>
      </c>
      <c r="G126" t="s">
        <v>42</v>
      </c>
      <c r="H126" t="s">
        <v>267</v>
      </c>
      <c r="I126" t="s">
        <v>374</v>
      </c>
      <c r="J126" t="s">
        <v>375</v>
      </c>
      <c r="K126" t="s">
        <v>376</v>
      </c>
      <c r="L126">
        <v>961804634</v>
      </c>
      <c r="M126" t="s">
        <v>33</v>
      </c>
      <c r="N126" t="s">
        <v>34</v>
      </c>
      <c r="O126" t="s">
        <v>58</v>
      </c>
      <c r="P126" t="s">
        <v>66</v>
      </c>
      <c r="Q126">
        <v>16863124</v>
      </c>
      <c r="R126" t="s">
        <v>37</v>
      </c>
      <c r="S126" t="s">
        <v>38</v>
      </c>
      <c r="T126" t="s">
        <v>39</v>
      </c>
      <c r="W126" s="5">
        <f ca="1">+(TODAY()-Tabla2[[#This Row],[FECHA DE NACIMIENTO]])/360</f>
        <v>128.05833333333334</v>
      </c>
    </row>
    <row r="127" spans="1:23" x14ac:dyDescent="0.45">
      <c r="A127" t="s">
        <v>23</v>
      </c>
      <c r="B127" t="s">
        <v>217</v>
      </c>
      <c r="C127" t="s">
        <v>89</v>
      </c>
      <c r="D127" s="1">
        <v>45595</v>
      </c>
      <c r="E127" t="s">
        <v>377</v>
      </c>
      <c r="F127" t="s">
        <v>378</v>
      </c>
      <c r="G127" t="s">
        <v>42</v>
      </c>
      <c r="H127" t="s">
        <v>69</v>
      </c>
      <c r="I127" t="s">
        <v>254</v>
      </c>
      <c r="J127" t="s">
        <v>45</v>
      </c>
      <c r="K127" t="s">
        <v>379</v>
      </c>
      <c r="L127">
        <v>935741981</v>
      </c>
      <c r="M127" t="s">
        <v>33</v>
      </c>
      <c r="N127" t="s">
        <v>136</v>
      </c>
      <c r="O127" t="s">
        <v>35</v>
      </c>
      <c r="P127" t="s">
        <v>36</v>
      </c>
      <c r="Q127">
        <v>88259173</v>
      </c>
      <c r="R127" t="s">
        <v>37</v>
      </c>
      <c r="S127" t="s">
        <v>38</v>
      </c>
      <c r="T127" t="s">
        <v>39</v>
      </c>
      <c r="W127" s="5">
        <f ca="1">+(TODAY()-Tabla2[[#This Row],[FECHA DE NACIMIENTO]])/360</f>
        <v>128.05833333333334</v>
      </c>
    </row>
    <row r="128" spans="1:23" x14ac:dyDescent="0.45">
      <c r="A128" t="s">
        <v>23</v>
      </c>
      <c r="B128" t="s">
        <v>88</v>
      </c>
      <c r="C128" t="s">
        <v>89</v>
      </c>
      <c r="D128" s="1">
        <v>45595</v>
      </c>
      <c r="E128" t="s">
        <v>380</v>
      </c>
      <c r="F128" t="s">
        <v>381</v>
      </c>
      <c r="G128" t="s">
        <v>28</v>
      </c>
      <c r="H128" t="s">
        <v>69</v>
      </c>
      <c r="I128" t="s">
        <v>382</v>
      </c>
      <c r="J128" t="s">
        <v>45</v>
      </c>
      <c r="K128" t="s">
        <v>383</v>
      </c>
      <c r="L128">
        <v>996939572</v>
      </c>
      <c r="M128" t="s">
        <v>33</v>
      </c>
      <c r="N128" t="s">
        <v>34</v>
      </c>
      <c r="O128" t="s">
        <v>35</v>
      </c>
      <c r="P128" t="s">
        <v>96</v>
      </c>
      <c r="Q128">
        <v>777913933631</v>
      </c>
      <c r="R128" t="s">
        <v>37</v>
      </c>
      <c r="S128" t="s">
        <v>38</v>
      </c>
      <c r="T128" t="s">
        <v>39</v>
      </c>
      <c r="W128" s="5">
        <f ca="1">+(TODAY()-Tabla2[[#This Row],[FECHA DE NACIMIENTO]])/360</f>
        <v>128.05833333333334</v>
      </c>
    </row>
    <row r="129" spans="1:23" x14ac:dyDescent="0.45">
      <c r="A129" t="s">
        <v>23</v>
      </c>
      <c r="B129" t="s">
        <v>88</v>
      </c>
      <c r="C129" t="s">
        <v>89</v>
      </c>
      <c r="D129" s="1">
        <v>45595</v>
      </c>
      <c r="E129" t="s">
        <v>384</v>
      </c>
      <c r="F129" t="s">
        <v>385</v>
      </c>
      <c r="G129" t="s">
        <v>28</v>
      </c>
      <c r="H129" t="s">
        <v>69</v>
      </c>
      <c r="I129" t="s">
        <v>386</v>
      </c>
      <c r="J129" t="s">
        <v>31</v>
      </c>
      <c r="K129" t="s">
        <v>387</v>
      </c>
      <c r="L129">
        <v>966583728</v>
      </c>
      <c r="M129" t="s">
        <v>33</v>
      </c>
      <c r="N129" t="s">
        <v>34</v>
      </c>
      <c r="O129" t="s">
        <v>35</v>
      </c>
      <c r="P129" t="s">
        <v>82</v>
      </c>
      <c r="Q129">
        <v>15120074181</v>
      </c>
      <c r="R129" t="s">
        <v>37</v>
      </c>
      <c r="S129" t="s">
        <v>38</v>
      </c>
      <c r="T129" t="s">
        <v>39</v>
      </c>
      <c r="W129" s="5">
        <f ca="1">+(TODAY()-Tabla2[[#This Row],[FECHA DE NACIMIENTO]])/360</f>
        <v>128.05833333333334</v>
      </c>
    </row>
    <row r="130" spans="1:23" x14ac:dyDescent="0.45">
      <c r="A130" t="s">
        <v>23</v>
      </c>
      <c r="B130" t="s">
        <v>388</v>
      </c>
      <c r="C130" t="s">
        <v>89</v>
      </c>
      <c r="D130" s="1">
        <v>45595</v>
      </c>
      <c r="E130" t="s">
        <v>389</v>
      </c>
      <c r="F130" t="s">
        <v>390</v>
      </c>
      <c r="G130" t="s">
        <v>42</v>
      </c>
      <c r="H130" t="s">
        <v>391</v>
      </c>
      <c r="I130" t="s">
        <v>392</v>
      </c>
      <c r="J130" t="s">
        <v>393</v>
      </c>
      <c r="K130" t="s">
        <v>394</v>
      </c>
      <c r="L130">
        <v>956926359</v>
      </c>
      <c r="M130" t="s">
        <v>33</v>
      </c>
      <c r="N130" t="s">
        <v>34</v>
      </c>
      <c r="O130" t="s">
        <v>58</v>
      </c>
      <c r="P130" t="s">
        <v>96</v>
      </c>
      <c r="Q130">
        <v>871281</v>
      </c>
      <c r="R130" t="s">
        <v>60</v>
      </c>
      <c r="S130" t="s">
        <v>137</v>
      </c>
      <c r="T130" t="s">
        <v>74</v>
      </c>
      <c r="W130" s="5">
        <f ca="1">+(TODAY()-Tabla2[[#This Row],[FECHA DE NACIMIENTO]])/360</f>
        <v>128.05833333333334</v>
      </c>
    </row>
    <row r="131" spans="1:23" x14ac:dyDescent="0.45">
      <c r="A131" t="s">
        <v>23</v>
      </c>
      <c r="B131" t="s">
        <v>206</v>
      </c>
      <c r="C131" t="s">
        <v>89</v>
      </c>
      <c r="D131" s="1">
        <v>45595</v>
      </c>
      <c r="E131" t="s">
        <v>395</v>
      </c>
      <c r="F131" t="s">
        <v>396</v>
      </c>
      <c r="G131" t="s">
        <v>42</v>
      </c>
      <c r="H131" t="s">
        <v>69</v>
      </c>
      <c r="I131" t="s">
        <v>397</v>
      </c>
      <c r="J131" t="s">
        <v>79</v>
      </c>
      <c r="K131" t="s">
        <v>398</v>
      </c>
      <c r="L131">
        <v>959084222</v>
      </c>
      <c r="M131" t="s">
        <v>33</v>
      </c>
      <c r="N131" t="s">
        <v>34</v>
      </c>
      <c r="O131" t="s">
        <v>35</v>
      </c>
      <c r="P131" t="s">
        <v>82</v>
      </c>
      <c r="Q131">
        <v>15840218378</v>
      </c>
      <c r="R131" t="s">
        <v>37</v>
      </c>
      <c r="S131" t="s">
        <v>38</v>
      </c>
      <c r="T131" t="s">
        <v>39</v>
      </c>
      <c r="W131" s="5">
        <f ca="1">+(TODAY()-Tabla2[[#This Row],[FECHA DE NACIMIENTO]])/360</f>
        <v>128.05833333333334</v>
      </c>
    </row>
    <row r="132" spans="1:23" x14ac:dyDescent="0.45">
      <c r="A132" t="s">
        <v>23</v>
      </c>
      <c r="B132" t="s">
        <v>206</v>
      </c>
      <c r="C132" t="s">
        <v>89</v>
      </c>
      <c r="D132" s="1">
        <v>45595</v>
      </c>
      <c r="E132" t="s">
        <v>399</v>
      </c>
      <c r="F132" t="s">
        <v>400</v>
      </c>
      <c r="G132" t="s">
        <v>42</v>
      </c>
      <c r="H132" t="s">
        <v>69</v>
      </c>
      <c r="I132" t="s">
        <v>272</v>
      </c>
      <c r="J132" t="s">
        <v>158</v>
      </c>
      <c r="K132" t="s">
        <v>401</v>
      </c>
      <c r="L132">
        <v>928340517</v>
      </c>
      <c r="M132" t="s">
        <v>33</v>
      </c>
      <c r="N132" t="s">
        <v>34</v>
      </c>
      <c r="O132" t="s">
        <v>58</v>
      </c>
      <c r="P132" t="s">
        <v>66</v>
      </c>
      <c r="Q132">
        <v>16569562</v>
      </c>
      <c r="R132" t="s">
        <v>37</v>
      </c>
      <c r="S132" t="s">
        <v>38</v>
      </c>
      <c r="T132" t="s">
        <v>39</v>
      </c>
      <c r="W132" s="5">
        <f ca="1">+(TODAY()-Tabla2[[#This Row],[FECHA DE NACIMIENTO]])/360</f>
        <v>128.05833333333334</v>
      </c>
    </row>
    <row r="133" spans="1:23" x14ac:dyDescent="0.45">
      <c r="A133" t="s">
        <v>23</v>
      </c>
      <c r="B133" t="s">
        <v>217</v>
      </c>
      <c r="C133" t="s">
        <v>89</v>
      </c>
      <c r="D133" s="1">
        <v>45595</v>
      </c>
      <c r="E133" t="s">
        <v>402</v>
      </c>
      <c r="F133" t="s">
        <v>403</v>
      </c>
      <c r="G133" t="s">
        <v>42</v>
      </c>
      <c r="H133" t="s">
        <v>69</v>
      </c>
      <c r="I133" t="s">
        <v>404</v>
      </c>
      <c r="J133" t="s">
        <v>405</v>
      </c>
      <c r="K133" t="s">
        <v>406</v>
      </c>
      <c r="L133">
        <v>953385758</v>
      </c>
      <c r="M133" t="s">
        <v>33</v>
      </c>
      <c r="N133" t="s">
        <v>34</v>
      </c>
      <c r="O133" t="s">
        <v>58</v>
      </c>
      <c r="P133" t="s">
        <v>66</v>
      </c>
      <c r="R133" t="s">
        <v>37</v>
      </c>
      <c r="S133" t="s">
        <v>38</v>
      </c>
      <c r="T133" t="s">
        <v>39</v>
      </c>
      <c r="W133" s="5">
        <f ca="1">+(TODAY()-Tabla2[[#This Row],[FECHA DE NACIMIENTO]])/360</f>
        <v>128.05833333333334</v>
      </c>
    </row>
    <row r="134" spans="1:23" x14ac:dyDescent="0.45">
      <c r="A134" t="s">
        <v>23</v>
      </c>
      <c r="B134" t="s">
        <v>88</v>
      </c>
      <c r="C134" t="s">
        <v>89</v>
      </c>
      <c r="D134" s="1">
        <v>45595</v>
      </c>
      <c r="E134" t="s">
        <v>407</v>
      </c>
      <c r="F134" t="s">
        <v>408</v>
      </c>
      <c r="G134" t="s">
        <v>42</v>
      </c>
      <c r="H134" t="s">
        <v>69</v>
      </c>
      <c r="I134" t="s">
        <v>409</v>
      </c>
      <c r="J134" t="s">
        <v>79</v>
      </c>
      <c r="K134" t="s">
        <v>410</v>
      </c>
      <c r="L134">
        <v>976611200</v>
      </c>
      <c r="M134" t="s">
        <v>33</v>
      </c>
      <c r="N134" t="s">
        <v>34</v>
      </c>
      <c r="O134" t="s">
        <v>58</v>
      </c>
      <c r="P134" t="s">
        <v>48</v>
      </c>
      <c r="Q134">
        <v>57221291</v>
      </c>
      <c r="R134" t="s">
        <v>37</v>
      </c>
      <c r="S134" t="s">
        <v>38</v>
      </c>
      <c r="T134" t="s">
        <v>39</v>
      </c>
      <c r="U134" s="1">
        <v>45688</v>
      </c>
      <c r="W134" s="5">
        <f ca="1">+(TODAY()-Tabla2[[#This Row],[FECHA DE NACIMIENTO]])/360</f>
        <v>128.05833333333334</v>
      </c>
    </row>
    <row r="135" spans="1:23" x14ac:dyDescent="0.45">
      <c r="A135" t="s">
        <v>23</v>
      </c>
      <c r="B135" t="s">
        <v>411</v>
      </c>
      <c r="C135" t="s">
        <v>89</v>
      </c>
      <c r="D135" s="1">
        <v>45595</v>
      </c>
      <c r="E135" t="s">
        <v>412</v>
      </c>
      <c r="F135" t="s">
        <v>413</v>
      </c>
      <c r="G135" t="s">
        <v>28</v>
      </c>
      <c r="H135" t="s">
        <v>69</v>
      </c>
      <c r="I135" t="s">
        <v>414</v>
      </c>
      <c r="J135" t="s">
        <v>79</v>
      </c>
      <c r="K135" t="s">
        <v>415</v>
      </c>
      <c r="L135">
        <v>938960133</v>
      </c>
      <c r="M135" t="s">
        <v>33</v>
      </c>
      <c r="N135" t="s">
        <v>34</v>
      </c>
      <c r="O135" t="s">
        <v>58</v>
      </c>
      <c r="P135" t="s">
        <v>66</v>
      </c>
      <c r="Q135">
        <v>21675959</v>
      </c>
      <c r="R135" t="s">
        <v>37</v>
      </c>
      <c r="S135" t="s">
        <v>137</v>
      </c>
      <c r="T135" t="s">
        <v>39</v>
      </c>
      <c r="W135" s="5">
        <f ca="1">+(TODAY()-Tabla2[[#This Row],[FECHA DE NACIMIENTO]])/360</f>
        <v>128.05833333333334</v>
      </c>
    </row>
    <row r="136" spans="1:23" x14ac:dyDescent="0.45">
      <c r="A136" t="s">
        <v>23</v>
      </c>
      <c r="B136" t="s">
        <v>306</v>
      </c>
      <c r="C136" t="s">
        <v>89</v>
      </c>
      <c r="D136" s="1">
        <v>45595</v>
      </c>
      <c r="E136" t="s">
        <v>416</v>
      </c>
      <c r="F136" t="s">
        <v>417</v>
      </c>
      <c r="G136" t="s">
        <v>42</v>
      </c>
      <c r="H136" t="s">
        <v>418</v>
      </c>
      <c r="I136" t="s">
        <v>309</v>
      </c>
      <c r="J136" t="s">
        <v>310</v>
      </c>
      <c r="K136" t="s">
        <v>419</v>
      </c>
      <c r="L136">
        <v>979170248</v>
      </c>
      <c r="M136" t="s">
        <v>33</v>
      </c>
      <c r="N136" t="s">
        <v>34</v>
      </c>
      <c r="O136" t="s">
        <v>58</v>
      </c>
      <c r="P136" t="s">
        <v>66</v>
      </c>
      <c r="Q136">
        <v>221194918</v>
      </c>
      <c r="R136" t="s">
        <v>37</v>
      </c>
      <c r="S136" t="s">
        <v>38</v>
      </c>
      <c r="T136" t="s">
        <v>39</v>
      </c>
      <c r="U136" s="1">
        <v>45688</v>
      </c>
      <c r="W136" s="5">
        <f ca="1">+(TODAY()-Tabla2[[#This Row],[FECHA DE NACIMIENTO]])/360</f>
        <v>128.05833333333334</v>
      </c>
    </row>
    <row r="137" spans="1:23" x14ac:dyDescent="0.45">
      <c r="A137" t="s">
        <v>23</v>
      </c>
      <c r="B137" t="s">
        <v>131</v>
      </c>
      <c r="C137" t="s">
        <v>89</v>
      </c>
      <c r="D137" s="1">
        <v>45595</v>
      </c>
      <c r="E137" t="s">
        <v>420</v>
      </c>
      <c r="F137" t="s">
        <v>421</v>
      </c>
      <c r="G137" t="s">
        <v>28</v>
      </c>
      <c r="H137" t="s">
        <v>69</v>
      </c>
      <c r="I137" t="s">
        <v>422</v>
      </c>
      <c r="J137" t="s">
        <v>31</v>
      </c>
      <c r="K137" t="s">
        <v>423</v>
      </c>
      <c r="L137">
        <v>992828630</v>
      </c>
      <c r="M137" t="s">
        <v>33</v>
      </c>
      <c r="N137" t="s">
        <v>34</v>
      </c>
      <c r="O137" t="s">
        <v>35</v>
      </c>
      <c r="P137" t="s">
        <v>96</v>
      </c>
      <c r="Q137">
        <v>61997579</v>
      </c>
      <c r="R137" t="s">
        <v>37</v>
      </c>
      <c r="S137" t="s">
        <v>38</v>
      </c>
      <c r="T137" t="s">
        <v>39</v>
      </c>
      <c r="W137" s="5">
        <f ca="1">+(TODAY()-Tabla2[[#This Row],[FECHA DE NACIMIENTO]])/360</f>
        <v>128.05833333333334</v>
      </c>
    </row>
    <row r="138" spans="1:23" x14ac:dyDescent="0.45">
      <c r="A138" t="s">
        <v>23</v>
      </c>
      <c r="B138" t="s">
        <v>217</v>
      </c>
      <c r="C138" t="s">
        <v>89</v>
      </c>
      <c r="D138" s="1">
        <v>45595</v>
      </c>
      <c r="E138" t="s">
        <v>424</v>
      </c>
      <c r="F138" t="s">
        <v>425</v>
      </c>
      <c r="G138" t="s">
        <v>28</v>
      </c>
      <c r="H138" t="s">
        <v>69</v>
      </c>
      <c r="I138" t="s">
        <v>426</v>
      </c>
      <c r="J138" t="s">
        <v>246</v>
      </c>
      <c r="K138" t="s">
        <v>427</v>
      </c>
      <c r="L138">
        <v>965343629</v>
      </c>
      <c r="M138" t="s">
        <v>33</v>
      </c>
      <c r="N138" t="s">
        <v>34</v>
      </c>
      <c r="O138" t="s">
        <v>35</v>
      </c>
      <c r="P138" t="s">
        <v>82</v>
      </c>
      <c r="Q138">
        <v>19998112357</v>
      </c>
      <c r="R138" t="s">
        <v>37</v>
      </c>
      <c r="S138" t="s">
        <v>38</v>
      </c>
      <c r="T138" t="s">
        <v>39</v>
      </c>
      <c r="W138" s="5">
        <f ca="1">+(TODAY()-Tabla2[[#This Row],[FECHA DE NACIMIENTO]])/360</f>
        <v>128.05833333333334</v>
      </c>
    </row>
    <row r="139" spans="1:23" x14ac:dyDescent="0.45">
      <c r="A139" t="s">
        <v>23</v>
      </c>
      <c r="B139" t="s">
        <v>88</v>
      </c>
      <c r="C139" t="s">
        <v>89</v>
      </c>
      <c r="D139" s="1">
        <v>45595</v>
      </c>
      <c r="E139" t="s">
        <v>428</v>
      </c>
      <c r="F139" t="s">
        <v>429</v>
      </c>
      <c r="G139" t="s">
        <v>42</v>
      </c>
      <c r="H139" t="s">
        <v>430</v>
      </c>
      <c r="I139" t="s">
        <v>431</v>
      </c>
      <c r="J139" t="s">
        <v>45</v>
      </c>
      <c r="K139" t="s">
        <v>432</v>
      </c>
      <c r="L139">
        <v>953948489</v>
      </c>
      <c r="M139" t="s">
        <v>33</v>
      </c>
      <c r="N139" t="s">
        <v>57</v>
      </c>
      <c r="O139" t="s">
        <v>58</v>
      </c>
      <c r="P139" t="s">
        <v>66</v>
      </c>
      <c r="Q139">
        <v>24672610</v>
      </c>
      <c r="R139" t="s">
        <v>37</v>
      </c>
      <c r="S139" t="s">
        <v>38</v>
      </c>
      <c r="T139" t="s">
        <v>39</v>
      </c>
      <c r="U139" s="1">
        <v>45777</v>
      </c>
      <c r="W139" s="5">
        <f ca="1">+(TODAY()-Tabla2[[#This Row],[FECHA DE NACIMIENTO]])/360</f>
        <v>128.05833333333334</v>
      </c>
    </row>
    <row r="140" spans="1:23" x14ac:dyDescent="0.45">
      <c r="A140" t="s">
        <v>23</v>
      </c>
      <c r="B140" t="s">
        <v>108</v>
      </c>
      <c r="C140" t="s">
        <v>89</v>
      </c>
      <c r="D140" s="1">
        <v>45595</v>
      </c>
      <c r="E140" t="s">
        <v>433</v>
      </c>
      <c r="F140" t="s">
        <v>434</v>
      </c>
      <c r="G140" t="s">
        <v>42</v>
      </c>
      <c r="H140" t="s">
        <v>69</v>
      </c>
      <c r="I140" t="s">
        <v>435</v>
      </c>
      <c r="J140" t="s">
        <v>436</v>
      </c>
      <c r="K140" t="s">
        <v>437</v>
      </c>
      <c r="L140">
        <v>976618062</v>
      </c>
      <c r="M140" t="s">
        <v>33</v>
      </c>
      <c r="N140" t="s">
        <v>57</v>
      </c>
      <c r="O140" t="s">
        <v>58</v>
      </c>
      <c r="P140" t="s">
        <v>48</v>
      </c>
      <c r="Q140">
        <v>141923055</v>
      </c>
      <c r="R140" t="s">
        <v>37</v>
      </c>
      <c r="S140" t="s">
        <v>38</v>
      </c>
      <c r="T140" t="s">
        <v>39</v>
      </c>
      <c r="W140" s="5">
        <f ca="1">+(TODAY()-Tabla2[[#This Row],[FECHA DE NACIMIENTO]])/360</f>
        <v>128.05833333333334</v>
      </c>
    </row>
    <row r="141" spans="1:23" x14ac:dyDescent="0.45">
      <c r="A141" t="s">
        <v>23</v>
      </c>
      <c r="B141" t="s">
        <v>299</v>
      </c>
      <c r="C141" t="s">
        <v>89</v>
      </c>
      <c r="D141" s="1">
        <v>45595</v>
      </c>
      <c r="E141" t="s">
        <v>438</v>
      </c>
      <c r="F141" t="s">
        <v>439</v>
      </c>
      <c r="G141" t="s">
        <v>42</v>
      </c>
      <c r="H141" t="s">
        <v>440</v>
      </c>
      <c r="I141" t="s">
        <v>441</v>
      </c>
      <c r="J141" t="s">
        <v>45</v>
      </c>
      <c r="K141" t="s">
        <v>442</v>
      </c>
      <c r="L141">
        <v>933308372</v>
      </c>
      <c r="M141" t="s">
        <v>33</v>
      </c>
      <c r="N141" t="s">
        <v>34</v>
      </c>
      <c r="O141" t="s">
        <v>35</v>
      </c>
      <c r="P141" t="s">
        <v>96</v>
      </c>
      <c r="Q141">
        <v>86126890</v>
      </c>
      <c r="R141" t="s">
        <v>37</v>
      </c>
      <c r="S141" t="s">
        <v>38</v>
      </c>
      <c r="T141" t="s">
        <v>39</v>
      </c>
      <c r="W141" s="5">
        <f ca="1">+(TODAY()-Tabla2[[#This Row],[FECHA DE NACIMIENTO]])/360</f>
        <v>128.05833333333334</v>
      </c>
    </row>
    <row r="142" spans="1:23" x14ac:dyDescent="0.45">
      <c r="A142" t="s">
        <v>23</v>
      </c>
      <c r="B142" t="s">
        <v>108</v>
      </c>
      <c r="C142" t="s">
        <v>89</v>
      </c>
      <c r="D142" s="1">
        <v>45595</v>
      </c>
      <c r="E142" t="s">
        <v>443</v>
      </c>
      <c r="F142" t="s">
        <v>444</v>
      </c>
      <c r="G142" t="s">
        <v>28</v>
      </c>
      <c r="H142" t="s">
        <v>29</v>
      </c>
      <c r="I142" t="s">
        <v>445</v>
      </c>
      <c r="J142" t="s">
        <v>45</v>
      </c>
      <c r="K142" t="s">
        <v>446</v>
      </c>
      <c r="L142">
        <v>956674621</v>
      </c>
      <c r="M142" t="s">
        <v>33</v>
      </c>
      <c r="N142" t="s">
        <v>57</v>
      </c>
      <c r="O142" t="s">
        <v>35</v>
      </c>
      <c r="P142" t="s">
        <v>96</v>
      </c>
      <c r="Q142">
        <v>89950674</v>
      </c>
      <c r="R142" t="s">
        <v>37</v>
      </c>
      <c r="S142" t="s">
        <v>38</v>
      </c>
      <c r="T142" t="s">
        <v>39</v>
      </c>
      <c r="U142" s="1">
        <v>45688</v>
      </c>
      <c r="W142" s="5">
        <f ca="1">+(TODAY()-Tabla2[[#This Row],[FECHA DE NACIMIENTO]])/360</f>
        <v>128.05833333333334</v>
      </c>
    </row>
    <row r="143" spans="1:23" x14ac:dyDescent="0.45">
      <c r="A143" t="s">
        <v>23</v>
      </c>
      <c r="B143" t="s">
        <v>88</v>
      </c>
      <c r="C143" t="s">
        <v>89</v>
      </c>
      <c r="D143" s="1">
        <v>45595</v>
      </c>
      <c r="E143" t="s">
        <v>447</v>
      </c>
      <c r="F143" t="s">
        <v>448</v>
      </c>
      <c r="G143" t="s">
        <v>42</v>
      </c>
      <c r="H143" t="s">
        <v>69</v>
      </c>
      <c r="I143" t="s">
        <v>449</v>
      </c>
      <c r="J143" t="s">
        <v>142</v>
      </c>
      <c r="K143" t="s">
        <v>450</v>
      </c>
      <c r="L143">
        <v>991348702</v>
      </c>
      <c r="M143" t="s">
        <v>33</v>
      </c>
      <c r="N143" t="s">
        <v>34</v>
      </c>
      <c r="O143" t="s">
        <v>58</v>
      </c>
      <c r="P143" t="s">
        <v>66</v>
      </c>
      <c r="Q143">
        <v>157915517</v>
      </c>
      <c r="R143" t="s">
        <v>37</v>
      </c>
      <c r="S143" t="s">
        <v>38</v>
      </c>
      <c r="T143" t="s">
        <v>39</v>
      </c>
      <c r="W143" s="5">
        <f ca="1">+(TODAY()-Tabla2[[#This Row],[FECHA DE NACIMIENTO]])/360</f>
        <v>128.05833333333334</v>
      </c>
    </row>
    <row r="144" spans="1:23" x14ac:dyDescent="0.45">
      <c r="A144" t="s">
        <v>23</v>
      </c>
      <c r="B144" t="s">
        <v>236</v>
      </c>
      <c r="C144" t="s">
        <v>89</v>
      </c>
      <c r="D144" s="1">
        <v>45595</v>
      </c>
      <c r="E144" t="s">
        <v>451</v>
      </c>
      <c r="F144" t="s">
        <v>452</v>
      </c>
      <c r="G144" t="s">
        <v>28</v>
      </c>
      <c r="H144" t="s">
        <v>453</v>
      </c>
      <c r="I144" t="s">
        <v>454</v>
      </c>
      <c r="J144" t="s">
        <v>455</v>
      </c>
      <c r="K144" t="s">
        <v>456</v>
      </c>
      <c r="L144">
        <v>950117711</v>
      </c>
      <c r="M144" t="s">
        <v>33</v>
      </c>
      <c r="N144" t="s">
        <v>34</v>
      </c>
      <c r="O144" t="s">
        <v>35</v>
      </c>
      <c r="P144" t="s">
        <v>82</v>
      </c>
      <c r="Q144">
        <v>15580103041</v>
      </c>
      <c r="R144" t="s">
        <v>37</v>
      </c>
      <c r="S144" t="s">
        <v>38</v>
      </c>
      <c r="T144" t="s">
        <v>39</v>
      </c>
      <c r="W144" s="5">
        <f ca="1">+(TODAY()-Tabla2[[#This Row],[FECHA DE NACIMIENTO]])/360</f>
        <v>128.05833333333334</v>
      </c>
    </row>
    <row r="145" spans="1:23" x14ac:dyDescent="0.45">
      <c r="A145" t="s">
        <v>23</v>
      </c>
      <c r="B145" t="s">
        <v>88</v>
      </c>
      <c r="C145" t="s">
        <v>89</v>
      </c>
      <c r="D145" s="1">
        <v>45595</v>
      </c>
      <c r="E145" t="s">
        <v>457</v>
      </c>
      <c r="F145" t="s">
        <v>458</v>
      </c>
      <c r="G145" t="s">
        <v>28</v>
      </c>
      <c r="H145" t="s">
        <v>69</v>
      </c>
      <c r="I145" t="s">
        <v>459</v>
      </c>
      <c r="J145" t="s">
        <v>364</v>
      </c>
      <c r="K145" t="s">
        <v>460</v>
      </c>
      <c r="L145">
        <v>994770523</v>
      </c>
      <c r="M145" t="s">
        <v>33</v>
      </c>
      <c r="N145" t="s">
        <v>34</v>
      </c>
      <c r="O145" t="s">
        <v>58</v>
      </c>
      <c r="P145" t="s">
        <v>66</v>
      </c>
      <c r="Q145">
        <v>222977312</v>
      </c>
      <c r="R145" t="s">
        <v>37</v>
      </c>
      <c r="S145" t="s">
        <v>38</v>
      </c>
      <c r="T145" t="s">
        <v>39</v>
      </c>
      <c r="W145" s="5">
        <f ca="1">+(TODAY()-Tabla2[[#This Row],[FECHA DE NACIMIENTO]])/360</f>
        <v>128.05833333333334</v>
      </c>
    </row>
    <row r="146" spans="1:23" x14ac:dyDescent="0.45">
      <c r="A146" t="s">
        <v>23</v>
      </c>
      <c r="B146" t="s">
        <v>411</v>
      </c>
      <c r="C146" t="s">
        <v>89</v>
      </c>
      <c r="D146" s="1">
        <v>45595</v>
      </c>
      <c r="E146" t="s">
        <v>461</v>
      </c>
      <c r="F146" t="s">
        <v>462</v>
      </c>
      <c r="G146" t="s">
        <v>42</v>
      </c>
      <c r="H146" t="s">
        <v>69</v>
      </c>
      <c r="I146" t="s">
        <v>463</v>
      </c>
      <c r="J146" t="s">
        <v>370</v>
      </c>
      <c r="K146" t="s">
        <v>464</v>
      </c>
      <c r="L146">
        <v>922378952</v>
      </c>
      <c r="M146" t="s">
        <v>33</v>
      </c>
      <c r="N146" t="s">
        <v>57</v>
      </c>
      <c r="O146" t="s">
        <v>35</v>
      </c>
      <c r="P146" t="s">
        <v>96</v>
      </c>
      <c r="Q146">
        <v>777928470410</v>
      </c>
      <c r="R146" t="s">
        <v>37</v>
      </c>
      <c r="S146" t="s">
        <v>137</v>
      </c>
      <c r="T146" t="s">
        <v>39</v>
      </c>
      <c r="W146" s="5">
        <f ca="1">+(TODAY()-Tabla2[[#This Row],[FECHA DE NACIMIENTO]])/360</f>
        <v>128.05833333333334</v>
      </c>
    </row>
    <row r="147" spans="1:23" x14ac:dyDescent="0.45">
      <c r="A147" t="s">
        <v>23</v>
      </c>
      <c r="B147" t="s">
        <v>319</v>
      </c>
      <c r="C147" t="s">
        <v>89</v>
      </c>
      <c r="D147" s="1">
        <v>45595</v>
      </c>
      <c r="E147" t="s">
        <v>465</v>
      </c>
      <c r="F147" t="s">
        <v>466</v>
      </c>
      <c r="G147" t="s">
        <v>42</v>
      </c>
      <c r="H147" t="s">
        <v>69</v>
      </c>
      <c r="I147" t="s">
        <v>467</v>
      </c>
      <c r="J147" t="s">
        <v>310</v>
      </c>
      <c r="K147" t="s">
        <v>468</v>
      </c>
      <c r="L147">
        <v>930279537</v>
      </c>
      <c r="M147" t="s">
        <v>33</v>
      </c>
      <c r="N147" t="s">
        <v>34</v>
      </c>
      <c r="O147" t="s">
        <v>58</v>
      </c>
      <c r="P147" t="s">
        <v>66</v>
      </c>
      <c r="Q147">
        <v>183294539</v>
      </c>
      <c r="R147" t="s">
        <v>37</v>
      </c>
      <c r="S147" t="s">
        <v>38</v>
      </c>
      <c r="T147" t="s">
        <v>39</v>
      </c>
      <c r="W147" s="5">
        <f ca="1">+(TODAY()-Tabla2[[#This Row],[FECHA DE NACIMIENTO]])/360</f>
        <v>128.05833333333334</v>
      </c>
    </row>
    <row r="148" spans="1:23" x14ac:dyDescent="0.45">
      <c r="A148" t="s">
        <v>23</v>
      </c>
      <c r="B148" t="s">
        <v>131</v>
      </c>
      <c r="C148" t="s">
        <v>89</v>
      </c>
      <c r="D148" s="1">
        <v>46077</v>
      </c>
      <c r="E148" t="s">
        <v>469</v>
      </c>
      <c r="F148" t="s">
        <v>470</v>
      </c>
      <c r="G148" t="s">
        <v>42</v>
      </c>
      <c r="H148" t="s">
        <v>471</v>
      </c>
      <c r="I148" t="s">
        <v>472</v>
      </c>
      <c r="J148" t="s">
        <v>45</v>
      </c>
      <c r="K148" t="s">
        <v>473</v>
      </c>
      <c r="L148">
        <v>977055688</v>
      </c>
      <c r="M148" t="s">
        <v>33</v>
      </c>
      <c r="N148" t="s">
        <v>34</v>
      </c>
      <c r="O148" t="s">
        <v>35</v>
      </c>
      <c r="P148" t="s">
        <v>474</v>
      </c>
      <c r="Q148">
        <v>225218941</v>
      </c>
      <c r="R148" t="s">
        <v>60</v>
      </c>
      <c r="S148" t="s">
        <v>38</v>
      </c>
      <c r="T148" t="s">
        <v>74</v>
      </c>
      <c r="U148" s="1">
        <v>45777</v>
      </c>
      <c r="W148" s="5">
        <f ca="1">+(TODAY()-Tabla2[[#This Row],[FECHA DE NACIMIENTO]])/360</f>
        <v>128.05833333333334</v>
      </c>
    </row>
    <row r="149" spans="1:23" x14ac:dyDescent="0.45">
      <c r="A149" t="s">
        <v>23</v>
      </c>
      <c r="B149" t="s">
        <v>108</v>
      </c>
      <c r="C149" t="s">
        <v>89</v>
      </c>
      <c r="D149" s="1">
        <v>45595</v>
      </c>
      <c r="E149" t="s">
        <v>475</v>
      </c>
      <c r="F149" t="s">
        <v>476</v>
      </c>
      <c r="G149" t="s">
        <v>42</v>
      </c>
      <c r="H149" t="s">
        <v>69</v>
      </c>
      <c r="I149" t="s">
        <v>477</v>
      </c>
      <c r="J149" t="s">
        <v>142</v>
      </c>
      <c r="K149" t="s">
        <v>478</v>
      </c>
      <c r="L149">
        <v>966164686</v>
      </c>
      <c r="M149" t="s">
        <v>33</v>
      </c>
      <c r="N149" t="s">
        <v>34</v>
      </c>
      <c r="O149" t="s">
        <v>35</v>
      </c>
      <c r="P149" t="s">
        <v>82</v>
      </c>
      <c r="Q149">
        <v>19996119512</v>
      </c>
      <c r="R149" t="s">
        <v>37</v>
      </c>
      <c r="S149" t="s">
        <v>137</v>
      </c>
      <c r="T149" t="s">
        <v>74</v>
      </c>
      <c r="U149" s="1">
        <v>45688</v>
      </c>
      <c r="W149" s="5">
        <f ca="1">+(TODAY()-Tabla2[[#This Row],[FECHA DE NACIMIENTO]])/360</f>
        <v>128.05833333333334</v>
      </c>
    </row>
    <row r="150" spans="1:23" x14ac:dyDescent="0.45">
      <c r="A150" t="s">
        <v>23</v>
      </c>
      <c r="B150" t="s">
        <v>88</v>
      </c>
      <c r="C150" t="s">
        <v>89</v>
      </c>
      <c r="D150" s="1">
        <v>45595</v>
      </c>
      <c r="E150" t="s">
        <v>479</v>
      </c>
      <c r="F150" t="s">
        <v>480</v>
      </c>
      <c r="G150" t="s">
        <v>42</v>
      </c>
      <c r="H150" t="s">
        <v>327</v>
      </c>
      <c r="I150" t="s">
        <v>481</v>
      </c>
      <c r="J150" t="s">
        <v>364</v>
      </c>
      <c r="K150" t="s">
        <v>482</v>
      </c>
      <c r="L150">
        <v>963895879</v>
      </c>
      <c r="M150" t="s">
        <v>33</v>
      </c>
      <c r="N150" t="s">
        <v>34</v>
      </c>
      <c r="O150" t="s">
        <v>35</v>
      </c>
      <c r="P150" t="s">
        <v>82</v>
      </c>
      <c r="Q150">
        <v>19998394629</v>
      </c>
      <c r="R150" t="s">
        <v>37</v>
      </c>
      <c r="S150" t="s">
        <v>38</v>
      </c>
      <c r="T150" t="s">
        <v>39</v>
      </c>
      <c r="U150" s="1">
        <v>45716</v>
      </c>
      <c r="W150" s="5">
        <f ca="1">+(TODAY()-Tabla2[[#This Row],[FECHA DE NACIMIENTO]])/360</f>
        <v>128.05833333333334</v>
      </c>
    </row>
    <row r="151" spans="1:23" x14ac:dyDescent="0.45">
      <c r="A151" t="s">
        <v>23</v>
      </c>
      <c r="B151" t="s">
        <v>299</v>
      </c>
      <c r="C151" t="s">
        <v>89</v>
      </c>
      <c r="D151" s="1">
        <v>45595</v>
      </c>
      <c r="E151" t="s">
        <v>483</v>
      </c>
      <c r="F151" t="s">
        <v>484</v>
      </c>
      <c r="G151" t="s">
        <v>42</v>
      </c>
      <c r="H151" t="s">
        <v>485</v>
      </c>
      <c r="I151" t="s">
        <v>486</v>
      </c>
      <c r="J151" t="s">
        <v>79</v>
      </c>
      <c r="K151" t="s">
        <v>487</v>
      </c>
      <c r="L151">
        <v>933590613</v>
      </c>
      <c r="M151" t="s">
        <v>33</v>
      </c>
      <c r="N151" t="s">
        <v>34</v>
      </c>
      <c r="O151" t="s">
        <v>35</v>
      </c>
      <c r="P151" t="s">
        <v>82</v>
      </c>
      <c r="Q151">
        <v>18090144435</v>
      </c>
      <c r="R151" t="s">
        <v>37</v>
      </c>
      <c r="S151" t="s">
        <v>137</v>
      </c>
      <c r="T151" t="s">
        <v>74</v>
      </c>
      <c r="W151" s="5">
        <f ca="1">+(TODAY()-Tabla2[[#This Row],[FECHA DE NACIMIENTO]])/360</f>
        <v>128.05833333333334</v>
      </c>
    </row>
    <row r="152" spans="1:23" x14ac:dyDescent="0.45">
      <c r="A152" t="s">
        <v>23</v>
      </c>
      <c r="B152" t="s">
        <v>194</v>
      </c>
      <c r="C152" t="s">
        <v>89</v>
      </c>
      <c r="D152" s="1">
        <v>45595</v>
      </c>
      <c r="E152" t="s">
        <v>488</v>
      </c>
      <c r="F152" t="s">
        <v>489</v>
      </c>
      <c r="G152" t="s">
        <v>42</v>
      </c>
      <c r="H152" t="s">
        <v>69</v>
      </c>
      <c r="I152" t="s">
        <v>490</v>
      </c>
      <c r="J152" t="s">
        <v>204</v>
      </c>
      <c r="K152" t="s">
        <v>491</v>
      </c>
      <c r="L152">
        <v>928427851</v>
      </c>
      <c r="M152" t="s">
        <v>33</v>
      </c>
      <c r="N152" t="s">
        <v>34</v>
      </c>
      <c r="O152" t="s">
        <v>58</v>
      </c>
      <c r="P152" t="s">
        <v>492</v>
      </c>
      <c r="Q152">
        <v>111113913613</v>
      </c>
      <c r="R152" t="s">
        <v>37</v>
      </c>
      <c r="S152" t="s">
        <v>38</v>
      </c>
      <c r="T152" t="s">
        <v>39</v>
      </c>
      <c r="W152" s="5">
        <f ca="1">+(TODAY()-Tabla2[[#This Row],[FECHA DE NACIMIENTO]])/360</f>
        <v>128.05833333333334</v>
      </c>
    </row>
    <row r="153" spans="1:23" x14ac:dyDescent="0.45">
      <c r="A153" t="s">
        <v>23</v>
      </c>
      <c r="B153" t="s">
        <v>131</v>
      </c>
      <c r="C153" t="s">
        <v>89</v>
      </c>
      <c r="D153" s="1">
        <v>45595</v>
      </c>
      <c r="E153" t="s">
        <v>493</v>
      </c>
      <c r="F153" t="s">
        <v>494</v>
      </c>
      <c r="G153" t="s">
        <v>28</v>
      </c>
      <c r="H153" t="s">
        <v>69</v>
      </c>
      <c r="I153" t="s">
        <v>495</v>
      </c>
      <c r="J153" t="s">
        <v>79</v>
      </c>
      <c r="K153" t="s">
        <v>496</v>
      </c>
      <c r="L153">
        <v>974655867</v>
      </c>
      <c r="M153" t="s">
        <v>33</v>
      </c>
      <c r="N153" t="s">
        <v>34</v>
      </c>
      <c r="O153" t="s">
        <v>58</v>
      </c>
      <c r="P153" t="s">
        <v>66</v>
      </c>
      <c r="Q153">
        <v>143463397</v>
      </c>
      <c r="R153" t="s">
        <v>37</v>
      </c>
      <c r="S153" t="s">
        <v>38</v>
      </c>
      <c r="T153" t="s">
        <v>74</v>
      </c>
      <c r="U153" s="1">
        <v>45688</v>
      </c>
      <c r="W153" s="5">
        <f ca="1">+(TODAY()-Tabla2[[#This Row],[FECHA DE NACIMIENTO]])/360</f>
        <v>128.05833333333334</v>
      </c>
    </row>
    <row r="154" spans="1:23" x14ac:dyDescent="0.45">
      <c r="A154" t="s">
        <v>23</v>
      </c>
      <c r="B154" t="s">
        <v>299</v>
      </c>
      <c r="C154" t="s">
        <v>89</v>
      </c>
      <c r="D154" s="1">
        <v>45595</v>
      </c>
      <c r="E154" t="s">
        <v>497</v>
      </c>
      <c r="F154" t="s">
        <v>498</v>
      </c>
      <c r="G154" t="s">
        <v>28</v>
      </c>
      <c r="H154" t="s">
        <v>69</v>
      </c>
      <c r="I154" t="s">
        <v>499</v>
      </c>
      <c r="J154" t="s">
        <v>79</v>
      </c>
      <c r="K154" t="s">
        <v>500</v>
      </c>
      <c r="L154">
        <v>964289275</v>
      </c>
      <c r="M154" t="s">
        <v>33</v>
      </c>
      <c r="N154" t="s">
        <v>34</v>
      </c>
      <c r="O154" t="s">
        <v>58</v>
      </c>
      <c r="P154" t="s">
        <v>82</v>
      </c>
      <c r="Q154">
        <v>50014553491</v>
      </c>
      <c r="R154" t="s">
        <v>37</v>
      </c>
      <c r="S154" t="s">
        <v>137</v>
      </c>
      <c r="T154" t="s">
        <v>74</v>
      </c>
      <c r="W154" s="5">
        <f ca="1">+(TODAY()-Tabla2[[#This Row],[FECHA DE NACIMIENTO]])/360</f>
        <v>128.05833333333334</v>
      </c>
    </row>
    <row r="155" spans="1:23" x14ac:dyDescent="0.45">
      <c r="A155" t="s">
        <v>23</v>
      </c>
      <c r="B155" t="s">
        <v>131</v>
      </c>
      <c r="C155" t="s">
        <v>89</v>
      </c>
      <c r="D155" s="1">
        <v>45595</v>
      </c>
      <c r="E155" t="s">
        <v>501</v>
      </c>
      <c r="F155" t="s">
        <v>502</v>
      </c>
      <c r="G155" t="s">
        <v>42</v>
      </c>
      <c r="H155" t="s">
        <v>69</v>
      </c>
      <c r="I155" t="s">
        <v>503</v>
      </c>
      <c r="J155" t="s">
        <v>31</v>
      </c>
      <c r="K155" t="s">
        <v>504</v>
      </c>
      <c r="L155">
        <v>986696886</v>
      </c>
      <c r="M155" t="s">
        <v>34</v>
      </c>
      <c r="N155" t="s">
        <v>33</v>
      </c>
      <c r="O155" t="s">
        <v>58</v>
      </c>
      <c r="P155" t="s">
        <v>66</v>
      </c>
      <c r="Q155">
        <v>111975450</v>
      </c>
      <c r="R155" t="s">
        <v>60</v>
      </c>
      <c r="S155" t="s">
        <v>38</v>
      </c>
      <c r="T155" t="s">
        <v>39</v>
      </c>
      <c r="W155" s="5">
        <f ca="1">+(TODAY()-Tabla2[[#This Row],[FECHA DE NACIMIENTO]])/360</f>
        <v>128.05833333333334</v>
      </c>
    </row>
    <row r="156" spans="1:23" x14ac:dyDescent="0.45">
      <c r="A156" t="s">
        <v>23</v>
      </c>
      <c r="B156" t="s">
        <v>131</v>
      </c>
      <c r="C156" t="s">
        <v>89</v>
      </c>
      <c r="D156" s="1">
        <v>45595</v>
      </c>
      <c r="E156" t="s">
        <v>505</v>
      </c>
      <c r="F156" t="s">
        <v>506</v>
      </c>
      <c r="G156" t="s">
        <v>42</v>
      </c>
      <c r="H156" t="s">
        <v>69</v>
      </c>
      <c r="I156" t="s">
        <v>507</v>
      </c>
      <c r="J156" t="s">
        <v>142</v>
      </c>
      <c r="K156" t="s">
        <v>508</v>
      </c>
      <c r="L156">
        <v>933537406</v>
      </c>
      <c r="M156" t="s">
        <v>34</v>
      </c>
      <c r="N156" t="s">
        <v>33</v>
      </c>
      <c r="O156" t="s">
        <v>35</v>
      </c>
      <c r="P156" t="s">
        <v>82</v>
      </c>
      <c r="Q156">
        <v>19832239747</v>
      </c>
      <c r="R156" t="s">
        <v>60</v>
      </c>
      <c r="S156" t="s">
        <v>38</v>
      </c>
      <c r="T156" t="s">
        <v>39</v>
      </c>
      <c r="W156" s="5">
        <f ca="1">+(TODAY()-Tabla2[[#This Row],[FECHA DE NACIMIENTO]])/360</f>
        <v>128.05833333333334</v>
      </c>
    </row>
    <row r="157" spans="1:23" x14ac:dyDescent="0.45">
      <c r="A157" t="s">
        <v>23</v>
      </c>
      <c r="B157" t="s">
        <v>388</v>
      </c>
      <c r="C157" t="s">
        <v>89</v>
      </c>
      <c r="D157" s="1">
        <v>45625</v>
      </c>
      <c r="E157" t="s">
        <v>509</v>
      </c>
      <c r="F157" t="s">
        <v>510</v>
      </c>
      <c r="G157" t="s">
        <v>42</v>
      </c>
      <c r="H157" t="s">
        <v>69</v>
      </c>
      <c r="I157" t="s">
        <v>511</v>
      </c>
      <c r="J157" t="s">
        <v>31</v>
      </c>
      <c r="K157" t="s">
        <v>512</v>
      </c>
      <c r="L157">
        <v>974178880</v>
      </c>
      <c r="M157" t="s">
        <v>33</v>
      </c>
      <c r="N157" t="s">
        <v>34</v>
      </c>
      <c r="O157" t="s">
        <v>58</v>
      </c>
      <c r="P157" t="s">
        <v>96</v>
      </c>
      <c r="Q157">
        <v>68951329</v>
      </c>
      <c r="R157" t="s">
        <v>60</v>
      </c>
      <c r="S157" t="s">
        <v>137</v>
      </c>
      <c r="T157" t="s">
        <v>74</v>
      </c>
      <c r="W157" s="5">
        <f ca="1">+(TODAY()-Tabla2[[#This Row],[FECHA DE NACIMIENTO]])/360</f>
        <v>128.05833333333334</v>
      </c>
    </row>
    <row r="158" spans="1:23" x14ac:dyDescent="0.45">
      <c r="A158" t="s">
        <v>23</v>
      </c>
      <c r="B158" t="s">
        <v>108</v>
      </c>
      <c r="C158" t="s">
        <v>89</v>
      </c>
      <c r="D158" s="1">
        <v>45631</v>
      </c>
      <c r="E158" t="s">
        <v>513</v>
      </c>
      <c r="F158" t="s">
        <v>514</v>
      </c>
      <c r="G158" t="s">
        <v>42</v>
      </c>
      <c r="H158" t="s">
        <v>69</v>
      </c>
      <c r="I158" t="s">
        <v>515</v>
      </c>
      <c r="J158" t="s">
        <v>516</v>
      </c>
      <c r="K158" t="s">
        <v>517</v>
      </c>
      <c r="L158">
        <v>956122444</v>
      </c>
      <c r="M158" t="s">
        <v>33</v>
      </c>
      <c r="N158" t="s">
        <v>57</v>
      </c>
      <c r="O158" t="s">
        <v>35</v>
      </c>
      <c r="P158" t="s">
        <v>82</v>
      </c>
      <c r="Q158">
        <v>15390059692</v>
      </c>
      <c r="R158" t="s">
        <v>37</v>
      </c>
      <c r="S158" t="s">
        <v>123</v>
      </c>
      <c r="T158" t="s">
        <v>124</v>
      </c>
      <c r="U158" s="1">
        <v>45688</v>
      </c>
      <c r="W158" s="5">
        <f ca="1">+(TODAY()-Tabla2[[#This Row],[FECHA DE NACIMIENTO]])/360</f>
        <v>128.05833333333334</v>
      </c>
    </row>
    <row r="159" spans="1:23" x14ac:dyDescent="0.45">
      <c r="A159" t="s">
        <v>23</v>
      </c>
      <c r="B159" t="s">
        <v>217</v>
      </c>
      <c r="C159" t="s">
        <v>89</v>
      </c>
      <c r="D159" s="1">
        <v>45631</v>
      </c>
      <c r="E159" t="s">
        <v>518</v>
      </c>
      <c r="F159" t="s">
        <v>519</v>
      </c>
      <c r="G159" t="s">
        <v>42</v>
      </c>
      <c r="H159" t="s">
        <v>520</v>
      </c>
      <c r="I159" t="s">
        <v>521</v>
      </c>
      <c r="J159" t="s">
        <v>204</v>
      </c>
      <c r="K159" t="s">
        <v>522</v>
      </c>
      <c r="L159">
        <v>971955967</v>
      </c>
      <c r="M159" t="s">
        <v>33</v>
      </c>
      <c r="N159" t="s">
        <v>34</v>
      </c>
      <c r="O159" t="s">
        <v>35</v>
      </c>
      <c r="P159" t="s">
        <v>36</v>
      </c>
      <c r="Q159">
        <v>83425245</v>
      </c>
      <c r="R159" t="s">
        <v>37</v>
      </c>
      <c r="S159" t="s">
        <v>137</v>
      </c>
      <c r="T159" t="s">
        <v>74</v>
      </c>
      <c r="U159" s="1">
        <v>45688</v>
      </c>
      <c r="W159" s="5">
        <f ca="1">+(TODAY()-Tabla2[[#This Row],[FECHA DE NACIMIENTO]])/360</f>
        <v>128.05833333333334</v>
      </c>
    </row>
    <row r="160" spans="1:23" x14ac:dyDescent="0.45">
      <c r="A160" t="s">
        <v>23</v>
      </c>
      <c r="B160" t="s">
        <v>217</v>
      </c>
      <c r="C160" t="s">
        <v>89</v>
      </c>
      <c r="D160" s="1">
        <v>45631</v>
      </c>
      <c r="E160" t="s">
        <v>523</v>
      </c>
      <c r="F160" t="s">
        <v>524</v>
      </c>
      <c r="G160" t="s">
        <v>28</v>
      </c>
      <c r="H160" t="s">
        <v>267</v>
      </c>
      <c r="I160" t="s">
        <v>525</v>
      </c>
      <c r="J160" t="s">
        <v>142</v>
      </c>
      <c r="K160" t="s">
        <v>526</v>
      </c>
      <c r="L160">
        <v>989890682</v>
      </c>
      <c r="M160" t="s">
        <v>33</v>
      </c>
      <c r="N160" t="s">
        <v>34</v>
      </c>
      <c r="O160" t="s">
        <v>58</v>
      </c>
      <c r="P160" t="s">
        <v>66</v>
      </c>
      <c r="Q160">
        <v>129253304</v>
      </c>
      <c r="R160" t="s">
        <v>37</v>
      </c>
      <c r="S160" t="s">
        <v>137</v>
      </c>
      <c r="T160" t="s">
        <v>74</v>
      </c>
      <c r="U160" s="1">
        <v>45777</v>
      </c>
      <c r="W160" s="5">
        <f ca="1">+(TODAY()-Tabla2[[#This Row],[FECHA DE NACIMIENTO]])/360</f>
        <v>128.05833333333334</v>
      </c>
    </row>
    <row r="161" spans="1:23" x14ac:dyDescent="0.45">
      <c r="A161" t="s">
        <v>23</v>
      </c>
      <c r="B161" t="s">
        <v>217</v>
      </c>
      <c r="C161" t="s">
        <v>89</v>
      </c>
      <c r="D161" s="1">
        <v>45631</v>
      </c>
      <c r="E161" t="s">
        <v>527</v>
      </c>
      <c r="F161" t="s">
        <v>528</v>
      </c>
      <c r="G161" t="s">
        <v>42</v>
      </c>
      <c r="H161" t="s">
        <v>69</v>
      </c>
      <c r="I161" t="s">
        <v>529</v>
      </c>
      <c r="J161" t="s">
        <v>45</v>
      </c>
      <c r="K161" t="s">
        <v>530</v>
      </c>
      <c r="L161">
        <v>935739251</v>
      </c>
      <c r="M161" t="s">
        <v>33</v>
      </c>
      <c r="N161" t="s">
        <v>57</v>
      </c>
      <c r="O161" t="s">
        <v>35</v>
      </c>
      <c r="P161" t="s">
        <v>531</v>
      </c>
      <c r="Q161">
        <v>79402273</v>
      </c>
      <c r="R161" t="s">
        <v>37</v>
      </c>
      <c r="S161" t="s">
        <v>137</v>
      </c>
      <c r="T161" t="s">
        <v>74</v>
      </c>
      <c r="U161" s="1">
        <v>45688</v>
      </c>
      <c r="W161" s="5">
        <f ca="1">+(TODAY()-Tabla2[[#This Row],[FECHA DE NACIMIENTO]])/360</f>
        <v>128.05833333333334</v>
      </c>
    </row>
    <row r="162" spans="1:23" x14ac:dyDescent="0.45">
      <c r="A162" t="s">
        <v>23</v>
      </c>
      <c r="B162" t="s">
        <v>108</v>
      </c>
      <c r="C162" t="s">
        <v>89</v>
      </c>
      <c r="D162" s="1">
        <v>45631</v>
      </c>
      <c r="E162" t="s">
        <v>532</v>
      </c>
      <c r="F162" t="s">
        <v>533</v>
      </c>
      <c r="G162" t="s">
        <v>42</v>
      </c>
      <c r="H162" t="s">
        <v>69</v>
      </c>
      <c r="I162" t="s">
        <v>534</v>
      </c>
      <c r="J162" t="s">
        <v>316</v>
      </c>
      <c r="K162" t="s">
        <v>535</v>
      </c>
      <c r="L162">
        <v>959442002</v>
      </c>
      <c r="M162" t="s">
        <v>33</v>
      </c>
      <c r="N162" t="s">
        <v>536</v>
      </c>
      <c r="O162" t="s">
        <v>58</v>
      </c>
      <c r="P162" t="s">
        <v>66</v>
      </c>
      <c r="Q162">
        <v>250255713</v>
      </c>
      <c r="R162" t="s">
        <v>37</v>
      </c>
      <c r="S162" t="s">
        <v>537</v>
      </c>
      <c r="T162" t="s">
        <v>39</v>
      </c>
      <c r="W162" s="5">
        <f ca="1">+(TODAY()-Tabla2[[#This Row],[FECHA DE NACIMIENTO]])/360</f>
        <v>128.05833333333334</v>
      </c>
    </row>
    <row r="163" spans="1:23" x14ac:dyDescent="0.45">
      <c r="A163" t="s">
        <v>23</v>
      </c>
      <c r="B163" t="s">
        <v>131</v>
      </c>
      <c r="C163" t="s">
        <v>89</v>
      </c>
      <c r="D163" s="1">
        <v>45631</v>
      </c>
      <c r="E163" t="s">
        <v>538</v>
      </c>
      <c r="F163" t="s">
        <v>539</v>
      </c>
      <c r="G163" t="s">
        <v>28</v>
      </c>
      <c r="H163" t="s">
        <v>69</v>
      </c>
      <c r="I163" t="s">
        <v>540</v>
      </c>
      <c r="J163" t="s">
        <v>338</v>
      </c>
      <c r="K163" t="s">
        <v>541</v>
      </c>
      <c r="L163">
        <v>929895644</v>
      </c>
      <c r="M163" t="s">
        <v>33</v>
      </c>
      <c r="N163" t="s">
        <v>57</v>
      </c>
      <c r="O163" t="s">
        <v>58</v>
      </c>
      <c r="P163" t="s">
        <v>66</v>
      </c>
      <c r="Q163">
        <v>285797845</v>
      </c>
      <c r="R163" t="s">
        <v>37</v>
      </c>
      <c r="S163" t="s">
        <v>137</v>
      </c>
      <c r="T163" t="s">
        <v>74</v>
      </c>
      <c r="U163" s="1">
        <v>45716</v>
      </c>
      <c r="W163" s="5">
        <f ca="1">+(TODAY()-Tabla2[[#This Row],[FECHA DE NACIMIENTO]])/360</f>
        <v>128.05833333333334</v>
      </c>
    </row>
    <row r="164" spans="1:23" x14ac:dyDescent="0.45">
      <c r="A164" t="s">
        <v>23</v>
      </c>
      <c r="B164" t="s">
        <v>306</v>
      </c>
      <c r="C164" t="s">
        <v>89</v>
      </c>
      <c r="D164" s="1">
        <v>45631</v>
      </c>
      <c r="E164" t="s">
        <v>542</v>
      </c>
      <c r="F164" t="s">
        <v>543</v>
      </c>
      <c r="G164" t="s">
        <v>42</v>
      </c>
      <c r="H164" t="s">
        <v>69</v>
      </c>
      <c r="I164" t="s">
        <v>544</v>
      </c>
      <c r="J164" t="s">
        <v>158</v>
      </c>
      <c r="K164" t="s">
        <v>545</v>
      </c>
      <c r="L164">
        <v>977084522</v>
      </c>
      <c r="M164" t="s">
        <v>33</v>
      </c>
      <c r="N164" t="s">
        <v>57</v>
      </c>
      <c r="O164" t="s">
        <v>58</v>
      </c>
      <c r="P164" t="s">
        <v>66</v>
      </c>
      <c r="Q164">
        <v>262351912</v>
      </c>
      <c r="R164" t="s">
        <v>37</v>
      </c>
      <c r="S164" t="s">
        <v>38</v>
      </c>
      <c r="T164" t="s">
        <v>39</v>
      </c>
      <c r="W164" s="5">
        <f ca="1">+(TODAY()-Tabla2[[#This Row],[FECHA DE NACIMIENTO]])/360</f>
        <v>128.05833333333334</v>
      </c>
    </row>
    <row r="165" spans="1:23" x14ac:dyDescent="0.45">
      <c r="A165" t="s">
        <v>23</v>
      </c>
      <c r="B165" t="s">
        <v>411</v>
      </c>
      <c r="C165" t="s">
        <v>89</v>
      </c>
      <c r="D165" s="1">
        <v>45631</v>
      </c>
      <c r="E165" t="s">
        <v>546</v>
      </c>
      <c r="F165" t="s">
        <v>547</v>
      </c>
      <c r="G165" t="s">
        <v>42</v>
      </c>
      <c r="H165" t="s">
        <v>327</v>
      </c>
      <c r="I165" t="s">
        <v>548</v>
      </c>
      <c r="J165" t="s">
        <v>94</v>
      </c>
      <c r="K165" t="s">
        <v>549</v>
      </c>
      <c r="L165">
        <v>948108015</v>
      </c>
      <c r="M165" t="s">
        <v>33</v>
      </c>
      <c r="N165" t="s">
        <v>34</v>
      </c>
      <c r="O165" t="s">
        <v>58</v>
      </c>
      <c r="P165" t="s">
        <v>48</v>
      </c>
      <c r="Q165">
        <v>9224043</v>
      </c>
      <c r="R165" t="s">
        <v>37</v>
      </c>
      <c r="S165" t="s">
        <v>137</v>
      </c>
      <c r="T165" t="s">
        <v>39</v>
      </c>
      <c r="W165" s="5">
        <f ca="1">+(TODAY()-Tabla2[[#This Row],[FECHA DE NACIMIENTO]])/360</f>
        <v>128.05833333333334</v>
      </c>
    </row>
    <row r="166" spans="1:23" x14ac:dyDescent="0.45">
      <c r="A166" t="s">
        <v>23</v>
      </c>
      <c r="B166" t="s">
        <v>131</v>
      </c>
      <c r="C166" t="s">
        <v>89</v>
      </c>
      <c r="D166" s="1">
        <v>45631</v>
      </c>
      <c r="E166" t="s">
        <v>550</v>
      </c>
      <c r="F166" t="s">
        <v>551</v>
      </c>
      <c r="G166" t="s">
        <v>42</v>
      </c>
      <c r="H166" t="s">
        <v>552</v>
      </c>
      <c r="I166" t="s">
        <v>553</v>
      </c>
      <c r="J166" t="s">
        <v>370</v>
      </c>
      <c r="K166" t="s">
        <v>554</v>
      </c>
      <c r="L166">
        <v>995459475</v>
      </c>
      <c r="M166" t="s">
        <v>33</v>
      </c>
      <c r="N166" t="s">
        <v>34</v>
      </c>
      <c r="O166" t="s">
        <v>35</v>
      </c>
      <c r="P166" t="s">
        <v>36</v>
      </c>
      <c r="Q166">
        <v>77133011</v>
      </c>
      <c r="R166" t="s">
        <v>37</v>
      </c>
      <c r="S166" t="s">
        <v>137</v>
      </c>
      <c r="T166" t="s">
        <v>39</v>
      </c>
      <c r="W166" s="5">
        <f ca="1">+(TODAY()-Tabla2[[#This Row],[FECHA DE NACIMIENTO]])/360</f>
        <v>128.05833333333334</v>
      </c>
    </row>
    <row r="167" spans="1:23" x14ac:dyDescent="0.45">
      <c r="A167" t="s">
        <v>23</v>
      </c>
      <c r="B167" t="s">
        <v>217</v>
      </c>
      <c r="C167" t="s">
        <v>89</v>
      </c>
      <c r="D167" s="1">
        <v>45631</v>
      </c>
      <c r="E167" t="s">
        <v>555</v>
      </c>
      <c r="F167" t="s">
        <v>556</v>
      </c>
      <c r="G167" t="s">
        <v>42</v>
      </c>
      <c r="H167" t="s">
        <v>29</v>
      </c>
      <c r="I167" t="s">
        <v>557</v>
      </c>
      <c r="J167" t="s">
        <v>94</v>
      </c>
      <c r="K167" t="s">
        <v>558</v>
      </c>
      <c r="L167">
        <v>966085059</v>
      </c>
      <c r="M167" t="s">
        <v>33</v>
      </c>
      <c r="N167" t="s">
        <v>34</v>
      </c>
      <c r="O167" t="s">
        <v>58</v>
      </c>
      <c r="P167" t="s">
        <v>66</v>
      </c>
      <c r="Q167">
        <v>159706877</v>
      </c>
      <c r="R167" t="s">
        <v>37</v>
      </c>
      <c r="S167" t="s">
        <v>137</v>
      </c>
      <c r="T167" t="s">
        <v>74</v>
      </c>
      <c r="U167" s="1">
        <v>45716</v>
      </c>
      <c r="W167" s="5">
        <f ca="1">+(TODAY()-Tabla2[[#This Row],[FECHA DE NACIMIENTO]])/360</f>
        <v>128.05833333333334</v>
      </c>
    </row>
    <row r="168" spans="1:23" x14ac:dyDescent="0.45">
      <c r="A168" t="s">
        <v>23</v>
      </c>
      <c r="B168" t="s">
        <v>411</v>
      </c>
      <c r="C168" t="s">
        <v>89</v>
      </c>
      <c r="D168" s="1">
        <v>45631</v>
      </c>
      <c r="E168" t="s">
        <v>559</v>
      </c>
      <c r="F168" t="s">
        <v>560</v>
      </c>
      <c r="G168" t="s">
        <v>42</v>
      </c>
      <c r="H168" t="s">
        <v>69</v>
      </c>
      <c r="I168" t="s">
        <v>561</v>
      </c>
      <c r="J168" t="s">
        <v>45</v>
      </c>
      <c r="K168" t="s">
        <v>562</v>
      </c>
      <c r="L168">
        <v>954592480</v>
      </c>
      <c r="M168" t="s">
        <v>33</v>
      </c>
      <c r="N168" t="s">
        <v>34</v>
      </c>
      <c r="O168" t="s">
        <v>58</v>
      </c>
      <c r="P168" t="s">
        <v>66</v>
      </c>
      <c r="Q168">
        <v>13838832</v>
      </c>
      <c r="R168" t="s">
        <v>37</v>
      </c>
      <c r="S168" t="s">
        <v>137</v>
      </c>
      <c r="T168" t="s">
        <v>39</v>
      </c>
      <c r="W168" s="5">
        <f ca="1">+(TODAY()-Tabla2[[#This Row],[FECHA DE NACIMIENTO]])/360</f>
        <v>128.05833333333334</v>
      </c>
    </row>
    <row r="169" spans="1:23" x14ac:dyDescent="0.45">
      <c r="A169" t="s">
        <v>23</v>
      </c>
      <c r="B169" t="s">
        <v>131</v>
      </c>
      <c r="C169" t="s">
        <v>89</v>
      </c>
      <c r="D169" s="1">
        <v>45631</v>
      </c>
      <c r="E169" t="s">
        <v>563</v>
      </c>
      <c r="F169" t="s">
        <v>564</v>
      </c>
      <c r="G169" t="s">
        <v>28</v>
      </c>
      <c r="H169" t="s">
        <v>29</v>
      </c>
      <c r="I169" t="s">
        <v>565</v>
      </c>
      <c r="J169" t="s">
        <v>316</v>
      </c>
      <c r="K169" t="s">
        <v>566</v>
      </c>
      <c r="L169">
        <v>949911909</v>
      </c>
      <c r="M169" t="s">
        <v>33</v>
      </c>
      <c r="N169" t="s">
        <v>34</v>
      </c>
      <c r="O169" t="s">
        <v>58</v>
      </c>
      <c r="P169" t="s">
        <v>73</v>
      </c>
      <c r="Q169">
        <v>4040119036</v>
      </c>
      <c r="R169" t="s">
        <v>37</v>
      </c>
      <c r="S169" t="s">
        <v>38</v>
      </c>
      <c r="T169" t="s">
        <v>74</v>
      </c>
      <c r="W169" s="5">
        <f ca="1">+(TODAY()-Tabla2[[#This Row],[FECHA DE NACIMIENTO]])/360</f>
        <v>128.05833333333334</v>
      </c>
    </row>
    <row r="170" spans="1:23" x14ac:dyDescent="0.45">
      <c r="A170" t="s">
        <v>23</v>
      </c>
      <c r="B170" t="s">
        <v>125</v>
      </c>
      <c r="C170" t="s">
        <v>89</v>
      </c>
      <c r="D170" s="1">
        <v>45631</v>
      </c>
      <c r="E170" t="s">
        <v>567</v>
      </c>
      <c r="F170" t="s">
        <v>568</v>
      </c>
      <c r="G170" t="s">
        <v>42</v>
      </c>
      <c r="H170" t="s">
        <v>69</v>
      </c>
      <c r="I170" t="s">
        <v>569</v>
      </c>
      <c r="J170" t="s">
        <v>570</v>
      </c>
      <c r="K170" t="s">
        <v>571</v>
      </c>
      <c r="L170">
        <v>937551640</v>
      </c>
      <c r="M170" t="s">
        <v>33</v>
      </c>
      <c r="N170" t="s">
        <v>34</v>
      </c>
      <c r="O170" t="s">
        <v>58</v>
      </c>
      <c r="P170" t="s">
        <v>66</v>
      </c>
      <c r="Q170">
        <v>197311745225</v>
      </c>
      <c r="R170" t="s">
        <v>37</v>
      </c>
      <c r="S170" t="s">
        <v>137</v>
      </c>
      <c r="T170" t="s">
        <v>74</v>
      </c>
      <c r="U170" s="1">
        <v>45961</v>
      </c>
      <c r="W170" s="5">
        <f ca="1">+(TODAY()-Tabla2[[#This Row],[FECHA DE NACIMIENTO]])/360</f>
        <v>128.05833333333334</v>
      </c>
    </row>
    <row r="171" spans="1:23" x14ac:dyDescent="0.45">
      <c r="A171" t="s">
        <v>23</v>
      </c>
      <c r="B171" t="s">
        <v>108</v>
      </c>
      <c r="C171" t="s">
        <v>89</v>
      </c>
      <c r="D171" s="1">
        <v>45631</v>
      </c>
      <c r="E171" t="s">
        <v>572</v>
      </c>
      <c r="F171" t="s">
        <v>573</v>
      </c>
      <c r="G171" t="s">
        <v>42</v>
      </c>
      <c r="H171" t="s">
        <v>267</v>
      </c>
      <c r="I171" t="s">
        <v>574</v>
      </c>
      <c r="J171" t="s">
        <v>516</v>
      </c>
      <c r="K171" t="s">
        <v>575</v>
      </c>
      <c r="L171">
        <v>946976644</v>
      </c>
      <c r="M171" t="s">
        <v>33</v>
      </c>
      <c r="N171" t="s">
        <v>57</v>
      </c>
      <c r="O171" t="s">
        <v>58</v>
      </c>
      <c r="P171" t="s">
        <v>66</v>
      </c>
      <c r="Q171">
        <v>28522439</v>
      </c>
      <c r="R171" t="s">
        <v>37</v>
      </c>
      <c r="S171" t="s">
        <v>38</v>
      </c>
      <c r="T171" t="s">
        <v>74</v>
      </c>
      <c r="U171" s="1">
        <v>45688</v>
      </c>
      <c r="W171" s="5">
        <f ca="1">+(TODAY()-Tabla2[[#This Row],[FECHA DE NACIMIENTO]])/360</f>
        <v>128.05833333333334</v>
      </c>
    </row>
    <row r="172" spans="1:23" x14ac:dyDescent="0.45">
      <c r="A172" t="s">
        <v>23</v>
      </c>
      <c r="B172" t="s">
        <v>131</v>
      </c>
      <c r="C172" t="s">
        <v>89</v>
      </c>
      <c r="D172" s="1">
        <v>45631</v>
      </c>
      <c r="E172" t="s">
        <v>576</v>
      </c>
      <c r="F172" t="s">
        <v>577</v>
      </c>
      <c r="G172" t="s">
        <v>28</v>
      </c>
      <c r="H172" t="s">
        <v>69</v>
      </c>
      <c r="I172" t="s">
        <v>578</v>
      </c>
      <c r="J172" t="s">
        <v>393</v>
      </c>
      <c r="K172" t="s">
        <v>579</v>
      </c>
      <c r="L172">
        <v>992067660</v>
      </c>
      <c r="M172" t="s">
        <v>33</v>
      </c>
      <c r="N172" t="s">
        <v>34</v>
      </c>
      <c r="O172" t="s">
        <v>35</v>
      </c>
      <c r="P172" t="s">
        <v>82</v>
      </c>
      <c r="Q172">
        <v>10013725799</v>
      </c>
      <c r="R172" t="s">
        <v>37</v>
      </c>
      <c r="S172" t="s">
        <v>38</v>
      </c>
      <c r="T172" t="s">
        <v>74</v>
      </c>
      <c r="U172" s="1">
        <v>45777</v>
      </c>
      <c r="W172" s="5">
        <f ca="1">+(TODAY()-Tabla2[[#This Row],[FECHA DE NACIMIENTO]])/360</f>
        <v>128.05833333333334</v>
      </c>
    </row>
    <row r="173" spans="1:23" x14ac:dyDescent="0.45">
      <c r="A173" t="s">
        <v>23</v>
      </c>
      <c r="B173" t="s">
        <v>131</v>
      </c>
      <c r="C173" t="s">
        <v>89</v>
      </c>
      <c r="D173" s="1">
        <v>45634</v>
      </c>
      <c r="E173" t="s">
        <v>40</v>
      </c>
      <c r="F173" t="s">
        <v>41</v>
      </c>
      <c r="G173" t="s">
        <v>42</v>
      </c>
      <c r="H173" t="s">
        <v>43</v>
      </c>
      <c r="I173" t="s">
        <v>44</v>
      </c>
      <c r="J173" t="s">
        <v>45</v>
      </c>
      <c r="K173" t="s">
        <v>46</v>
      </c>
      <c r="L173">
        <v>959022710</v>
      </c>
      <c r="M173" t="s">
        <v>33</v>
      </c>
      <c r="N173" t="s">
        <v>34</v>
      </c>
      <c r="O173" t="s">
        <v>35</v>
      </c>
      <c r="P173" t="s">
        <v>82</v>
      </c>
      <c r="Q173">
        <v>19822214469</v>
      </c>
      <c r="R173" t="s">
        <v>60</v>
      </c>
      <c r="S173" t="s">
        <v>38</v>
      </c>
      <c r="T173" t="s">
        <v>74</v>
      </c>
      <c r="U173" s="1">
        <v>45930</v>
      </c>
      <c r="W173" s="5">
        <f ca="1">+(TODAY()-Tabla2[[#This Row],[FECHA DE NACIMIENTO]])/360</f>
        <v>128.05833333333334</v>
      </c>
    </row>
    <row r="174" spans="1:23" x14ac:dyDescent="0.45">
      <c r="A174" t="s">
        <v>23</v>
      </c>
      <c r="B174" t="s">
        <v>88</v>
      </c>
      <c r="C174" t="s">
        <v>89</v>
      </c>
      <c r="D174" s="1">
        <v>45645</v>
      </c>
      <c r="E174" t="s">
        <v>580</v>
      </c>
      <c r="F174" t="s">
        <v>581</v>
      </c>
      <c r="G174" t="s">
        <v>42</v>
      </c>
      <c r="H174" t="s">
        <v>69</v>
      </c>
      <c r="I174" t="s">
        <v>582</v>
      </c>
      <c r="J174" t="s">
        <v>364</v>
      </c>
      <c r="K174" t="s">
        <v>450</v>
      </c>
      <c r="L174">
        <v>991348702</v>
      </c>
      <c r="M174" t="s">
        <v>33</v>
      </c>
      <c r="N174" t="s">
        <v>34</v>
      </c>
      <c r="O174" t="s">
        <v>58</v>
      </c>
      <c r="P174" t="s">
        <v>66</v>
      </c>
      <c r="Q174">
        <v>13707068</v>
      </c>
      <c r="R174" t="s">
        <v>37</v>
      </c>
      <c r="S174" t="s">
        <v>38</v>
      </c>
      <c r="T174" t="s">
        <v>39</v>
      </c>
      <c r="U174" s="1">
        <v>45900</v>
      </c>
      <c r="W174" s="5">
        <f ca="1">+(TODAY()-Tabla2[[#This Row],[FECHA DE NACIMIENTO]])/360</f>
        <v>128.05833333333334</v>
      </c>
    </row>
    <row r="175" spans="1:23" x14ac:dyDescent="0.45">
      <c r="A175" t="s">
        <v>23</v>
      </c>
      <c r="B175" t="s">
        <v>131</v>
      </c>
      <c r="C175" t="s">
        <v>89</v>
      </c>
      <c r="D175" s="1">
        <v>45646</v>
      </c>
      <c r="E175" t="s">
        <v>583</v>
      </c>
      <c r="F175" t="s">
        <v>584</v>
      </c>
      <c r="G175" t="s">
        <v>42</v>
      </c>
      <c r="H175" t="s">
        <v>239</v>
      </c>
      <c r="I175" t="s">
        <v>585</v>
      </c>
      <c r="J175" t="s">
        <v>204</v>
      </c>
      <c r="K175" t="s">
        <v>586</v>
      </c>
      <c r="L175">
        <v>981547211</v>
      </c>
      <c r="M175" t="s">
        <v>33</v>
      </c>
      <c r="N175" t="s">
        <v>34</v>
      </c>
      <c r="O175" t="s">
        <v>35</v>
      </c>
      <c r="P175" t="s">
        <v>96</v>
      </c>
      <c r="Q175">
        <v>50123467</v>
      </c>
      <c r="R175" t="s">
        <v>37</v>
      </c>
      <c r="S175" t="s">
        <v>38</v>
      </c>
      <c r="T175" t="s">
        <v>39</v>
      </c>
      <c r="U175" s="1">
        <v>45900</v>
      </c>
      <c r="W175" s="5">
        <f ca="1">+(TODAY()-Tabla2[[#This Row],[FECHA DE NACIMIENTO]])/360</f>
        <v>128.05833333333334</v>
      </c>
    </row>
    <row r="176" spans="1:23" x14ac:dyDescent="0.45">
      <c r="A176" t="s">
        <v>23</v>
      </c>
      <c r="B176" t="s">
        <v>131</v>
      </c>
      <c r="C176" t="s">
        <v>89</v>
      </c>
      <c r="D176" s="1">
        <v>45646</v>
      </c>
      <c r="E176" t="s">
        <v>587</v>
      </c>
      <c r="F176" t="s">
        <v>588</v>
      </c>
      <c r="G176" t="s">
        <v>28</v>
      </c>
      <c r="H176" t="s">
        <v>589</v>
      </c>
      <c r="I176" t="s">
        <v>590</v>
      </c>
      <c r="J176" t="s">
        <v>204</v>
      </c>
      <c r="K176" t="s">
        <v>591</v>
      </c>
      <c r="L176">
        <v>950237006</v>
      </c>
      <c r="M176" t="s">
        <v>33</v>
      </c>
      <c r="N176" t="s">
        <v>34</v>
      </c>
      <c r="O176" t="s">
        <v>58</v>
      </c>
      <c r="P176" t="s">
        <v>66</v>
      </c>
      <c r="Q176">
        <v>15182949</v>
      </c>
      <c r="R176" t="s">
        <v>37</v>
      </c>
      <c r="S176" t="s">
        <v>38</v>
      </c>
      <c r="T176" t="s">
        <v>74</v>
      </c>
      <c r="U176" s="1">
        <v>45688</v>
      </c>
      <c r="W176" s="5">
        <f ca="1">+(TODAY()-Tabla2[[#This Row],[FECHA DE NACIMIENTO]])/360</f>
        <v>128.05833333333334</v>
      </c>
    </row>
    <row r="177" spans="1:23" x14ac:dyDescent="0.45">
      <c r="A177" t="s">
        <v>23</v>
      </c>
      <c r="B177" t="s">
        <v>108</v>
      </c>
      <c r="C177" t="s">
        <v>89</v>
      </c>
      <c r="D177" s="1">
        <v>45646</v>
      </c>
      <c r="E177" t="s">
        <v>592</v>
      </c>
      <c r="F177" t="s">
        <v>593</v>
      </c>
      <c r="G177" t="s">
        <v>42</v>
      </c>
      <c r="H177" t="s">
        <v>69</v>
      </c>
      <c r="I177" t="s">
        <v>594</v>
      </c>
      <c r="J177" t="s">
        <v>393</v>
      </c>
      <c r="K177" t="s">
        <v>595</v>
      </c>
      <c r="L177">
        <v>936113432</v>
      </c>
      <c r="M177" t="s">
        <v>33</v>
      </c>
      <c r="N177" t="s">
        <v>596</v>
      </c>
      <c r="O177" t="s">
        <v>35</v>
      </c>
      <c r="P177" t="s">
        <v>82</v>
      </c>
      <c r="Q177">
        <v>19999845934</v>
      </c>
      <c r="R177" t="s">
        <v>37</v>
      </c>
      <c r="S177" t="s">
        <v>38</v>
      </c>
      <c r="T177" t="s">
        <v>74</v>
      </c>
      <c r="U177" s="1">
        <v>45688</v>
      </c>
      <c r="W177" s="5">
        <f ca="1">+(TODAY()-Tabla2[[#This Row],[FECHA DE NACIMIENTO]])/360</f>
        <v>128.05833333333334</v>
      </c>
    </row>
    <row r="178" spans="1:23" x14ac:dyDescent="0.45">
      <c r="A178" t="s">
        <v>23</v>
      </c>
      <c r="B178" t="s">
        <v>88</v>
      </c>
      <c r="C178" t="s">
        <v>89</v>
      </c>
      <c r="D178" s="1">
        <v>45646</v>
      </c>
      <c r="E178" t="s">
        <v>597</v>
      </c>
      <c r="F178" t="s">
        <v>598</v>
      </c>
      <c r="G178" t="s">
        <v>42</v>
      </c>
      <c r="H178" t="s">
        <v>267</v>
      </c>
      <c r="I178" t="s">
        <v>599</v>
      </c>
      <c r="J178" t="s">
        <v>71</v>
      </c>
      <c r="K178" t="s">
        <v>600</v>
      </c>
      <c r="L178">
        <v>993606489</v>
      </c>
      <c r="M178" t="s">
        <v>33</v>
      </c>
      <c r="N178" t="s">
        <v>34</v>
      </c>
      <c r="O178" t="s">
        <v>58</v>
      </c>
      <c r="P178" t="s">
        <v>66</v>
      </c>
      <c r="Q178">
        <v>52170341309</v>
      </c>
      <c r="R178" t="s">
        <v>37</v>
      </c>
      <c r="S178" t="s">
        <v>137</v>
      </c>
      <c r="T178" t="s">
        <v>74</v>
      </c>
      <c r="U178" s="1">
        <v>45777</v>
      </c>
      <c r="W178" s="5">
        <f ca="1">+(TODAY()-Tabla2[[#This Row],[FECHA DE NACIMIENTO]])/360</f>
        <v>128.05833333333334</v>
      </c>
    </row>
    <row r="179" spans="1:23" x14ac:dyDescent="0.45">
      <c r="A179" t="s">
        <v>23</v>
      </c>
      <c r="B179" t="s">
        <v>108</v>
      </c>
      <c r="C179" t="s">
        <v>89</v>
      </c>
      <c r="D179" s="1">
        <v>45646</v>
      </c>
      <c r="E179" t="s">
        <v>601</v>
      </c>
      <c r="F179" t="s">
        <v>602</v>
      </c>
      <c r="G179" t="s">
        <v>28</v>
      </c>
      <c r="H179" t="s">
        <v>69</v>
      </c>
      <c r="I179" t="s">
        <v>603</v>
      </c>
      <c r="J179" t="s">
        <v>215</v>
      </c>
      <c r="K179" t="s">
        <v>604</v>
      </c>
      <c r="L179">
        <v>929740621</v>
      </c>
      <c r="M179" t="s">
        <v>56</v>
      </c>
      <c r="N179" t="s">
        <v>34</v>
      </c>
      <c r="O179" t="s">
        <v>35</v>
      </c>
      <c r="P179" t="s">
        <v>96</v>
      </c>
      <c r="Q179">
        <v>95986871</v>
      </c>
      <c r="R179" t="s">
        <v>37</v>
      </c>
      <c r="S179" t="s">
        <v>137</v>
      </c>
      <c r="T179" t="s">
        <v>74</v>
      </c>
      <c r="U179" s="1">
        <v>45688</v>
      </c>
      <c r="W179" s="5">
        <f ca="1">+(TODAY()-Tabla2[[#This Row],[FECHA DE NACIMIENTO]])/360</f>
        <v>128.05833333333334</v>
      </c>
    </row>
    <row r="180" spans="1:23" x14ac:dyDescent="0.45">
      <c r="A180" t="s">
        <v>23</v>
      </c>
      <c r="B180" t="s">
        <v>131</v>
      </c>
      <c r="C180" t="s">
        <v>89</v>
      </c>
      <c r="D180" s="1">
        <v>45646</v>
      </c>
      <c r="E180" t="s">
        <v>605</v>
      </c>
      <c r="F180" t="s">
        <v>606</v>
      </c>
      <c r="G180" t="s">
        <v>28</v>
      </c>
      <c r="H180" t="s">
        <v>69</v>
      </c>
      <c r="I180" t="s">
        <v>607</v>
      </c>
      <c r="J180" t="s">
        <v>516</v>
      </c>
      <c r="K180" t="s">
        <v>608</v>
      </c>
      <c r="L180">
        <v>940084187</v>
      </c>
      <c r="M180" t="s">
        <v>33</v>
      </c>
      <c r="N180" t="s">
        <v>34</v>
      </c>
      <c r="O180" t="s">
        <v>58</v>
      </c>
      <c r="P180" t="s">
        <v>66</v>
      </c>
      <c r="Q180">
        <v>15410402</v>
      </c>
      <c r="R180" t="s">
        <v>37</v>
      </c>
      <c r="S180" t="s">
        <v>38</v>
      </c>
      <c r="T180" t="s">
        <v>74</v>
      </c>
      <c r="U180" s="1">
        <v>45688</v>
      </c>
      <c r="W180" s="5">
        <f ca="1">+(TODAY()-Tabla2[[#This Row],[FECHA DE NACIMIENTO]])/360</f>
        <v>128.05833333333334</v>
      </c>
    </row>
    <row r="181" spans="1:23" x14ac:dyDescent="0.45">
      <c r="A181" t="s">
        <v>23</v>
      </c>
      <c r="B181" t="s">
        <v>609</v>
      </c>
      <c r="C181" t="s">
        <v>89</v>
      </c>
      <c r="D181" s="1">
        <v>45664</v>
      </c>
      <c r="E181" t="s">
        <v>610</v>
      </c>
      <c r="F181" t="s">
        <v>611</v>
      </c>
      <c r="G181" t="s">
        <v>42</v>
      </c>
      <c r="H181" t="s">
        <v>612</v>
      </c>
      <c r="I181" t="s">
        <v>613</v>
      </c>
      <c r="J181" t="s">
        <v>142</v>
      </c>
      <c r="K181" t="s">
        <v>614</v>
      </c>
      <c r="L181">
        <v>972198025</v>
      </c>
      <c r="M181" t="s">
        <v>56</v>
      </c>
      <c r="N181" t="s">
        <v>34</v>
      </c>
      <c r="O181" t="s">
        <v>58</v>
      </c>
      <c r="P181" t="s">
        <v>66</v>
      </c>
      <c r="Q181">
        <v>81476047</v>
      </c>
      <c r="R181" t="s">
        <v>37</v>
      </c>
      <c r="S181" t="s">
        <v>38</v>
      </c>
      <c r="T181" t="s">
        <v>39</v>
      </c>
      <c r="U181" s="1">
        <v>45688</v>
      </c>
      <c r="W181" s="5">
        <f ca="1">+(TODAY()-Tabla2[[#This Row],[FECHA DE NACIMIENTO]])/360</f>
        <v>128.05833333333334</v>
      </c>
    </row>
    <row r="182" spans="1:23" x14ac:dyDescent="0.45">
      <c r="A182" t="s">
        <v>23</v>
      </c>
      <c r="B182" t="s">
        <v>609</v>
      </c>
      <c r="C182" t="s">
        <v>89</v>
      </c>
      <c r="D182" s="1">
        <v>45664</v>
      </c>
      <c r="E182" t="s">
        <v>615</v>
      </c>
      <c r="F182" t="s">
        <v>616</v>
      </c>
      <c r="G182" t="s">
        <v>42</v>
      </c>
      <c r="H182" t="s">
        <v>233</v>
      </c>
      <c r="I182" t="s">
        <v>617</v>
      </c>
      <c r="J182" t="s">
        <v>31</v>
      </c>
      <c r="K182" t="s">
        <v>618</v>
      </c>
      <c r="L182">
        <v>983005905</v>
      </c>
      <c r="M182" t="s">
        <v>81</v>
      </c>
      <c r="N182" t="s">
        <v>34</v>
      </c>
      <c r="O182" t="s">
        <v>35</v>
      </c>
      <c r="P182" t="s">
        <v>48</v>
      </c>
      <c r="Q182">
        <v>3280763205</v>
      </c>
      <c r="R182" t="s">
        <v>37</v>
      </c>
      <c r="S182" t="s">
        <v>38</v>
      </c>
      <c r="T182" t="s">
        <v>39</v>
      </c>
      <c r="U182" s="1">
        <v>45961</v>
      </c>
      <c r="W182" s="5">
        <f ca="1">+(TODAY()-Tabla2[[#This Row],[FECHA DE NACIMIENTO]])/360</f>
        <v>128.05833333333334</v>
      </c>
    </row>
    <row r="183" spans="1:23" x14ac:dyDescent="0.45">
      <c r="A183" t="s">
        <v>23</v>
      </c>
      <c r="B183" t="s">
        <v>609</v>
      </c>
      <c r="C183" t="s">
        <v>89</v>
      </c>
      <c r="D183" s="1">
        <v>45664</v>
      </c>
      <c r="E183" t="s">
        <v>619</v>
      </c>
      <c r="F183" t="s">
        <v>620</v>
      </c>
      <c r="G183" t="s">
        <v>28</v>
      </c>
      <c r="H183" t="s">
        <v>621</v>
      </c>
      <c r="I183" t="s">
        <v>622</v>
      </c>
      <c r="J183" t="s">
        <v>370</v>
      </c>
      <c r="K183" t="s">
        <v>623</v>
      </c>
      <c r="L183">
        <v>986827647</v>
      </c>
      <c r="M183" t="s">
        <v>56</v>
      </c>
      <c r="N183" t="s">
        <v>34</v>
      </c>
      <c r="O183" t="s">
        <v>58</v>
      </c>
      <c r="P183" t="s">
        <v>66</v>
      </c>
      <c r="Q183">
        <v>100604116</v>
      </c>
      <c r="R183" t="s">
        <v>37</v>
      </c>
      <c r="S183" t="s">
        <v>38</v>
      </c>
      <c r="T183" t="s">
        <v>39</v>
      </c>
      <c r="U183" s="1">
        <v>45961</v>
      </c>
      <c r="W183" s="5">
        <f ca="1">+(TODAY()-Tabla2[[#This Row],[FECHA DE NACIMIENTO]])/360</f>
        <v>128.05833333333334</v>
      </c>
    </row>
    <row r="184" spans="1:23" x14ac:dyDescent="0.45">
      <c r="A184" t="s">
        <v>23</v>
      </c>
      <c r="B184" t="s">
        <v>609</v>
      </c>
      <c r="C184" t="s">
        <v>89</v>
      </c>
      <c r="D184" s="1">
        <v>45664</v>
      </c>
      <c r="E184" t="s">
        <v>624</v>
      </c>
      <c r="F184" t="s">
        <v>625</v>
      </c>
      <c r="G184" t="s">
        <v>42</v>
      </c>
      <c r="H184" t="s">
        <v>233</v>
      </c>
      <c r="I184" t="s">
        <v>626</v>
      </c>
      <c r="J184" t="s">
        <v>436</v>
      </c>
      <c r="K184" t="s">
        <v>627</v>
      </c>
      <c r="L184">
        <v>955104343</v>
      </c>
      <c r="M184" t="s">
        <v>81</v>
      </c>
      <c r="N184" t="s">
        <v>34</v>
      </c>
      <c r="O184" t="s">
        <v>58</v>
      </c>
      <c r="P184" t="s">
        <v>48</v>
      </c>
      <c r="Q184">
        <v>521920245</v>
      </c>
      <c r="R184" t="s">
        <v>37</v>
      </c>
      <c r="S184" t="s">
        <v>137</v>
      </c>
      <c r="T184" t="s">
        <v>74</v>
      </c>
      <c r="U184" s="1">
        <v>45688</v>
      </c>
      <c r="W184" s="5">
        <f ca="1">+(TODAY()-Tabla2[[#This Row],[FECHA DE NACIMIENTO]])/360</f>
        <v>128.05833333333334</v>
      </c>
    </row>
    <row r="185" spans="1:23" x14ac:dyDescent="0.45">
      <c r="A185" t="s">
        <v>23</v>
      </c>
      <c r="B185" t="s">
        <v>609</v>
      </c>
      <c r="C185" t="s">
        <v>89</v>
      </c>
      <c r="D185" s="1">
        <v>45664</v>
      </c>
      <c r="E185" t="s">
        <v>628</v>
      </c>
      <c r="F185" t="s">
        <v>629</v>
      </c>
      <c r="G185" t="s">
        <v>28</v>
      </c>
      <c r="H185" t="s">
        <v>69</v>
      </c>
      <c r="I185" t="s">
        <v>630</v>
      </c>
      <c r="J185" t="s">
        <v>370</v>
      </c>
      <c r="K185" t="s">
        <v>631</v>
      </c>
      <c r="L185">
        <v>997433026</v>
      </c>
      <c r="M185" t="s">
        <v>56</v>
      </c>
      <c r="N185" t="s">
        <v>34</v>
      </c>
      <c r="O185" t="s">
        <v>58</v>
      </c>
      <c r="P185" t="s">
        <v>66</v>
      </c>
      <c r="Q185">
        <v>8125167</v>
      </c>
      <c r="R185" t="s">
        <v>37</v>
      </c>
      <c r="S185" t="s">
        <v>38</v>
      </c>
      <c r="T185" t="s">
        <v>39</v>
      </c>
      <c r="U185" s="1">
        <v>45961</v>
      </c>
      <c r="W185" s="5">
        <f ca="1">+(TODAY()-Tabla2[[#This Row],[FECHA DE NACIMIENTO]])/360</f>
        <v>128.05833333333334</v>
      </c>
    </row>
    <row r="186" spans="1:23" x14ac:dyDescent="0.45">
      <c r="A186" t="s">
        <v>23</v>
      </c>
      <c r="B186" t="s">
        <v>131</v>
      </c>
      <c r="C186" t="s">
        <v>89</v>
      </c>
      <c r="D186" s="1">
        <v>45665</v>
      </c>
      <c r="E186" t="s">
        <v>83</v>
      </c>
      <c r="F186" t="s">
        <v>84</v>
      </c>
      <c r="G186" t="s">
        <v>42</v>
      </c>
      <c r="H186" t="s">
        <v>29</v>
      </c>
      <c r="I186" t="s">
        <v>86</v>
      </c>
      <c r="J186" t="s">
        <v>45</v>
      </c>
      <c r="K186" t="s">
        <v>87</v>
      </c>
      <c r="L186">
        <v>949586238</v>
      </c>
      <c r="M186" t="s">
        <v>33</v>
      </c>
      <c r="N186" t="s">
        <v>57</v>
      </c>
      <c r="O186" t="s">
        <v>58</v>
      </c>
      <c r="P186" t="s">
        <v>66</v>
      </c>
      <c r="Q186">
        <v>25718400</v>
      </c>
      <c r="R186" t="s">
        <v>37</v>
      </c>
      <c r="S186" t="s">
        <v>38</v>
      </c>
      <c r="T186" t="s">
        <v>74</v>
      </c>
      <c r="U186" s="1">
        <v>45777</v>
      </c>
      <c r="W186" s="5">
        <f ca="1">+(TODAY()-Tabla2[[#This Row],[FECHA DE NACIMIENTO]])/360</f>
        <v>128.05833333333334</v>
      </c>
    </row>
    <row r="187" spans="1:23" x14ac:dyDescent="0.45">
      <c r="A187" t="s">
        <v>23</v>
      </c>
      <c r="B187" t="s">
        <v>632</v>
      </c>
      <c r="C187" t="s">
        <v>633</v>
      </c>
      <c r="D187" s="1">
        <v>45666</v>
      </c>
      <c r="E187" t="s">
        <v>634</v>
      </c>
      <c r="F187" t="s">
        <v>635</v>
      </c>
      <c r="G187" t="s">
        <v>28</v>
      </c>
      <c r="H187" t="s">
        <v>636</v>
      </c>
      <c r="I187" t="s">
        <v>637</v>
      </c>
      <c r="J187" t="s">
        <v>638</v>
      </c>
      <c r="K187" t="s">
        <v>639</v>
      </c>
      <c r="L187">
        <v>56944238107</v>
      </c>
      <c r="M187" t="s">
        <v>33</v>
      </c>
      <c r="N187" t="s">
        <v>34</v>
      </c>
      <c r="O187" t="s">
        <v>35</v>
      </c>
      <c r="P187" t="s">
        <v>48</v>
      </c>
      <c r="Q187">
        <v>3280199205</v>
      </c>
      <c r="R187" t="s">
        <v>60</v>
      </c>
      <c r="S187" t="s">
        <v>38</v>
      </c>
      <c r="T187" t="s">
        <v>74</v>
      </c>
      <c r="W187" s="5">
        <f ca="1">+(TODAY()-Tabla2[[#This Row],[FECHA DE NACIMIENTO]])/360</f>
        <v>128.05833333333334</v>
      </c>
    </row>
    <row r="188" spans="1:23" x14ac:dyDescent="0.45">
      <c r="A188" t="s">
        <v>23</v>
      </c>
      <c r="B188" t="s">
        <v>125</v>
      </c>
      <c r="C188" t="s">
        <v>89</v>
      </c>
      <c r="D188" s="1">
        <v>45666</v>
      </c>
      <c r="E188" t="s">
        <v>640</v>
      </c>
      <c r="F188" t="s">
        <v>641</v>
      </c>
      <c r="G188" t="s">
        <v>42</v>
      </c>
      <c r="H188" t="s">
        <v>156</v>
      </c>
      <c r="I188" t="s">
        <v>642</v>
      </c>
      <c r="J188" t="s">
        <v>643</v>
      </c>
      <c r="K188" t="s">
        <v>644</v>
      </c>
      <c r="L188">
        <v>958376172</v>
      </c>
      <c r="M188" t="s">
        <v>33</v>
      </c>
      <c r="N188" t="s">
        <v>34</v>
      </c>
      <c r="O188" t="s">
        <v>58</v>
      </c>
      <c r="P188" t="s">
        <v>66</v>
      </c>
      <c r="Q188">
        <v>17281971</v>
      </c>
      <c r="R188" t="s">
        <v>37</v>
      </c>
      <c r="S188" t="s">
        <v>537</v>
      </c>
      <c r="T188" t="s">
        <v>39</v>
      </c>
      <c r="U188" s="1">
        <v>45869</v>
      </c>
      <c r="W188" s="5">
        <f ca="1">+(TODAY()-Tabla2[[#This Row],[FECHA DE NACIMIENTO]])/360</f>
        <v>128.05833333333334</v>
      </c>
    </row>
    <row r="189" spans="1:23" x14ac:dyDescent="0.45">
      <c r="A189" t="s">
        <v>645</v>
      </c>
      <c r="B189" t="s">
        <v>646</v>
      </c>
      <c r="C189" t="s">
        <v>25</v>
      </c>
      <c r="D189" s="1">
        <v>45669</v>
      </c>
      <c r="E189" t="s">
        <v>647</v>
      </c>
      <c r="F189" t="s">
        <v>648</v>
      </c>
      <c r="G189" t="s">
        <v>28</v>
      </c>
      <c r="H189" t="s">
        <v>649</v>
      </c>
      <c r="I189" t="s">
        <v>650</v>
      </c>
      <c r="J189" t="s">
        <v>204</v>
      </c>
      <c r="K189" t="s">
        <v>651</v>
      </c>
      <c r="L189">
        <v>926194084</v>
      </c>
      <c r="M189" t="s">
        <v>33</v>
      </c>
      <c r="N189" t="s">
        <v>34</v>
      </c>
      <c r="O189" t="s">
        <v>35</v>
      </c>
      <c r="P189" t="s">
        <v>36</v>
      </c>
      <c r="Q189">
        <v>77922792</v>
      </c>
      <c r="R189" t="s">
        <v>37</v>
      </c>
      <c r="S189" t="s">
        <v>137</v>
      </c>
      <c r="T189" t="s">
        <v>74</v>
      </c>
      <c r="U189" s="1">
        <v>45869</v>
      </c>
      <c r="W189" s="5">
        <f ca="1">+(TODAY()-Tabla2[[#This Row],[FECHA DE NACIMIENTO]])/360</f>
        <v>128.05833333333334</v>
      </c>
    </row>
    <row r="190" spans="1:23" x14ac:dyDescent="0.45">
      <c r="A190" t="s">
        <v>23</v>
      </c>
      <c r="B190" t="s">
        <v>652</v>
      </c>
      <c r="C190" t="s">
        <v>89</v>
      </c>
      <c r="D190" s="1">
        <v>45669</v>
      </c>
      <c r="E190" t="s">
        <v>653</v>
      </c>
      <c r="F190" t="s">
        <v>654</v>
      </c>
      <c r="G190" t="s">
        <v>42</v>
      </c>
      <c r="H190" t="s">
        <v>655</v>
      </c>
      <c r="I190" t="s">
        <v>656</v>
      </c>
      <c r="J190" t="s">
        <v>165</v>
      </c>
      <c r="K190" t="s">
        <v>657</v>
      </c>
      <c r="L190">
        <v>996212744</v>
      </c>
      <c r="M190" t="s">
        <v>658</v>
      </c>
      <c r="N190" t="s">
        <v>34</v>
      </c>
      <c r="O190" t="s">
        <v>35</v>
      </c>
      <c r="P190" t="s">
        <v>36</v>
      </c>
      <c r="Q190">
        <v>67122445</v>
      </c>
      <c r="R190" t="s">
        <v>37</v>
      </c>
      <c r="S190" t="s">
        <v>137</v>
      </c>
      <c r="T190" t="s">
        <v>39</v>
      </c>
      <c r="W190" s="5">
        <f ca="1">+(TODAY()-Tabla2[[#This Row],[FECHA DE NACIMIENTO]])/360</f>
        <v>128.05833333333334</v>
      </c>
    </row>
    <row r="191" spans="1:23" x14ac:dyDescent="0.45">
      <c r="A191" t="s">
        <v>23</v>
      </c>
      <c r="B191" t="s">
        <v>659</v>
      </c>
      <c r="C191" t="s">
        <v>89</v>
      </c>
      <c r="D191" s="1">
        <v>45669</v>
      </c>
      <c r="E191" t="s">
        <v>660</v>
      </c>
      <c r="F191" t="s">
        <v>661</v>
      </c>
      <c r="G191" t="s">
        <v>28</v>
      </c>
      <c r="H191" t="s">
        <v>662</v>
      </c>
      <c r="I191" t="s">
        <v>663</v>
      </c>
      <c r="J191" t="s">
        <v>94</v>
      </c>
      <c r="K191" t="s">
        <v>664</v>
      </c>
      <c r="L191">
        <v>976543917</v>
      </c>
      <c r="M191" t="s">
        <v>33</v>
      </c>
      <c r="N191" t="s">
        <v>665</v>
      </c>
      <c r="O191" t="s">
        <v>35</v>
      </c>
      <c r="P191" t="s">
        <v>82</v>
      </c>
      <c r="Q191">
        <v>19841145033</v>
      </c>
      <c r="R191" t="s">
        <v>37</v>
      </c>
      <c r="S191" t="s">
        <v>38</v>
      </c>
      <c r="T191" t="s">
        <v>89</v>
      </c>
      <c r="W191" s="5">
        <f ca="1">+(TODAY()-Tabla2[[#This Row],[FECHA DE NACIMIENTO]])/360</f>
        <v>128.05833333333334</v>
      </c>
    </row>
    <row r="192" spans="1:23" x14ac:dyDescent="0.45">
      <c r="A192" t="s">
        <v>645</v>
      </c>
      <c r="B192" t="s">
        <v>666</v>
      </c>
      <c r="C192" t="s">
        <v>89</v>
      </c>
      <c r="D192" s="1">
        <v>45669</v>
      </c>
      <c r="E192" t="s">
        <v>667</v>
      </c>
      <c r="F192" t="s">
        <v>668</v>
      </c>
      <c r="G192" t="s">
        <v>42</v>
      </c>
      <c r="H192" t="s">
        <v>669</v>
      </c>
      <c r="I192" t="s">
        <v>670</v>
      </c>
      <c r="J192" t="s">
        <v>31</v>
      </c>
      <c r="K192" t="s">
        <v>671</v>
      </c>
      <c r="L192">
        <v>56977321900</v>
      </c>
      <c r="M192" t="s">
        <v>81</v>
      </c>
      <c r="N192" t="s">
        <v>34</v>
      </c>
      <c r="O192" t="s">
        <v>58</v>
      </c>
      <c r="P192" t="s">
        <v>17</v>
      </c>
      <c r="Q192">
        <v>33070213538</v>
      </c>
      <c r="R192" t="s">
        <v>37</v>
      </c>
      <c r="S192" t="s">
        <v>38</v>
      </c>
      <c r="T192" t="s">
        <v>39</v>
      </c>
      <c r="W192" s="5">
        <f ca="1">+(TODAY()-Tabla2[[#This Row],[FECHA DE NACIMIENTO]])/360</f>
        <v>128.05833333333334</v>
      </c>
    </row>
    <row r="193" spans="1:23" x14ac:dyDescent="0.45">
      <c r="A193" t="s">
        <v>23</v>
      </c>
      <c r="B193" t="s">
        <v>659</v>
      </c>
      <c r="C193" t="s">
        <v>89</v>
      </c>
      <c r="D193" s="1">
        <v>46077</v>
      </c>
      <c r="E193" t="s">
        <v>672</v>
      </c>
      <c r="F193" t="s">
        <v>673</v>
      </c>
      <c r="G193" t="s">
        <v>28</v>
      </c>
      <c r="H193" t="s">
        <v>674</v>
      </c>
      <c r="I193" t="s">
        <v>675</v>
      </c>
      <c r="J193" t="s">
        <v>31</v>
      </c>
      <c r="K193" t="s">
        <v>676</v>
      </c>
      <c r="L193">
        <v>937505924</v>
      </c>
      <c r="M193" t="s">
        <v>33</v>
      </c>
      <c r="N193" t="s">
        <v>57</v>
      </c>
      <c r="O193" t="s">
        <v>35</v>
      </c>
      <c r="P193" t="s">
        <v>677</v>
      </c>
      <c r="Q193">
        <v>1602130601</v>
      </c>
      <c r="R193" t="s">
        <v>60</v>
      </c>
      <c r="S193" t="s">
        <v>137</v>
      </c>
      <c r="T193" t="s">
        <v>74</v>
      </c>
      <c r="W193" s="5">
        <f ca="1">+(TODAY()-Tabla2[[#This Row],[FECHA DE NACIMIENTO]])/360</f>
        <v>128.05833333333334</v>
      </c>
    </row>
    <row r="194" spans="1:23" x14ac:dyDescent="0.45">
      <c r="A194" t="s">
        <v>23</v>
      </c>
      <c r="B194" t="s">
        <v>411</v>
      </c>
      <c r="C194" t="s">
        <v>89</v>
      </c>
      <c r="D194" s="1">
        <v>45993</v>
      </c>
      <c r="E194" t="s">
        <v>678</v>
      </c>
      <c r="F194" t="s">
        <v>679</v>
      </c>
      <c r="G194" t="s">
        <v>28</v>
      </c>
      <c r="H194" t="s">
        <v>680</v>
      </c>
      <c r="I194" t="s">
        <v>681</v>
      </c>
      <c r="J194" t="s">
        <v>643</v>
      </c>
      <c r="K194" t="s">
        <v>682</v>
      </c>
      <c r="L194">
        <v>953605634</v>
      </c>
      <c r="M194" t="s">
        <v>683</v>
      </c>
      <c r="N194" t="s">
        <v>34</v>
      </c>
      <c r="O194" t="s">
        <v>58</v>
      </c>
      <c r="P194" t="s">
        <v>96</v>
      </c>
      <c r="Q194">
        <v>777016236018</v>
      </c>
      <c r="R194" t="s">
        <v>37</v>
      </c>
      <c r="S194" t="s">
        <v>137</v>
      </c>
      <c r="T194" t="s">
        <v>74</v>
      </c>
      <c r="U194" s="1">
        <v>46022</v>
      </c>
      <c r="W194" s="5">
        <f ca="1">+(TODAY()-Tabla2[[#This Row],[FECHA DE NACIMIENTO]])/360</f>
        <v>128.05833333333334</v>
      </c>
    </row>
    <row r="195" spans="1:23" x14ac:dyDescent="0.45">
      <c r="A195" t="s">
        <v>23</v>
      </c>
      <c r="B195" t="s">
        <v>388</v>
      </c>
      <c r="C195" t="s">
        <v>89</v>
      </c>
      <c r="D195" s="1">
        <v>45669</v>
      </c>
      <c r="E195" t="s">
        <v>684</v>
      </c>
      <c r="F195" t="s">
        <v>685</v>
      </c>
      <c r="G195" t="s">
        <v>28</v>
      </c>
      <c r="H195" t="s">
        <v>327</v>
      </c>
      <c r="I195" t="s">
        <v>686</v>
      </c>
      <c r="J195" t="s">
        <v>259</v>
      </c>
      <c r="K195" t="s">
        <v>687</v>
      </c>
      <c r="L195">
        <v>965136604</v>
      </c>
      <c r="M195" t="s">
        <v>33</v>
      </c>
      <c r="N195" t="s">
        <v>34</v>
      </c>
      <c r="O195" t="s">
        <v>58</v>
      </c>
      <c r="P195" t="s">
        <v>17</v>
      </c>
      <c r="Q195">
        <v>157971093</v>
      </c>
      <c r="R195" t="s">
        <v>37</v>
      </c>
      <c r="S195" t="s">
        <v>38</v>
      </c>
      <c r="T195" t="s">
        <v>74</v>
      </c>
      <c r="U195" s="1">
        <v>46022</v>
      </c>
      <c r="W195" s="5">
        <f ca="1">+(TODAY()-Tabla2[[#This Row],[FECHA DE NACIMIENTO]])/360</f>
        <v>128.05833333333334</v>
      </c>
    </row>
    <row r="196" spans="1:23" x14ac:dyDescent="0.45">
      <c r="A196" t="s">
        <v>645</v>
      </c>
      <c r="B196" t="s">
        <v>646</v>
      </c>
      <c r="C196" t="s">
        <v>25</v>
      </c>
      <c r="D196" s="1">
        <v>45669</v>
      </c>
      <c r="E196" t="s">
        <v>688</v>
      </c>
      <c r="F196" t="s">
        <v>689</v>
      </c>
      <c r="G196" t="s">
        <v>28</v>
      </c>
      <c r="H196" t="s">
        <v>690</v>
      </c>
      <c r="I196" t="s">
        <v>691</v>
      </c>
      <c r="J196" t="s">
        <v>692</v>
      </c>
      <c r="K196" t="s">
        <v>693</v>
      </c>
      <c r="L196">
        <v>984979185</v>
      </c>
      <c r="M196" t="s">
        <v>56</v>
      </c>
      <c r="N196" t="s">
        <v>34</v>
      </c>
      <c r="O196" t="s">
        <v>35</v>
      </c>
      <c r="P196" t="s">
        <v>36</v>
      </c>
      <c r="Q196">
        <v>9955178</v>
      </c>
      <c r="R196" t="s">
        <v>37</v>
      </c>
      <c r="S196" t="s">
        <v>137</v>
      </c>
      <c r="T196" t="s">
        <v>74</v>
      </c>
      <c r="U196" s="1">
        <v>46022</v>
      </c>
      <c r="W196" s="5">
        <f ca="1">+(TODAY()-Tabla2[[#This Row],[FECHA DE NACIMIENTO]])/360</f>
        <v>128.05833333333334</v>
      </c>
    </row>
    <row r="197" spans="1:23" x14ac:dyDescent="0.45">
      <c r="A197" t="s">
        <v>645</v>
      </c>
      <c r="B197" t="s">
        <v>694</v>
      </c>
      <c r="C197" t="s">
        <v>89</v>
      </c>
      <c r="D197" s="1">
        <v>45669</v>
      </c>
      <c r="E197" t="s">
        <v>695</v>
      </c>
      <c r="F197" t="s">
        <v>696</v>
      </c>
      <c r="G197" t="s">
        <v>28</v>
      </c>
      <c r="H197" t="s">
        <v>697</v>
      </c>
      <c r="I197" t="s">
        <v>698</v>
      </c>
      <c r="J197" t="s">
        <v>699</v>
      </c>
      <c r="K197" t="s">
        <v>700</v>
      </c>
      <c r="L197">
        <v>985981261</v>
      </c>
      <c r="M197" t="s">
        <v>33</v>
      </c>
      <c r="N197" t="s">
        <v>34</v>
      </c>
      <c r="O197" t="s">
        <v>58</v>
      </c>
      <c r="P197" t="s">
        <v>66</v>
      </c>
      <c r="Q197">
        <v>20095688</v>
      </c>
      <c r="R197" t="s">
        <v>37</v>
      </c>
      <c r="S197" t="s">
        <v>137</v>
      </c>
      <c r="T197" t="s">
        <v>39</v>
      </c>
      <c r="W197" s="5">
        <f ca="1">+(TODAY()-Tabla2[[#This Row],[FECHA DE NACIMIENTO]])/360</f>
        <v>128.05833333333334</v>
      </c>
    </row>
    <row r="198" spans="1:23" x14ac:dyDescent="0.45">
      <c r="A198" t="s">
        <v>23</v>
      </c>
      <c r="B198" t="s">
        <v>388</v>
      </c>
      <c r="C198" t="s">
        <v>89</v>
      </c>
      <c r="D198" s="1">
        <v>45669</v>
      </c>
      <c r="E198" t="s">
        <v>701</v>
      </c>
      <c r="F198" t="s">
        <v>702</v>
      </c>
      <c r="G198" t="s">
        <v>42</v>
      </c>
      <c r="H198" t="s">
        <v>703</v>
      </c>
      <c r="I198" t="s">
        <v>704</v>
      </c>
      <c r="J198" t="s">
        <v>158</v>
      </c>
      <c r="K198" t="s">
        <v>705</v>
      </c>
      <c r="L198">
        <v>982496964</v>
      </c>
      <c r="M198" t="s">
        <v>658</v>
      </c>
      <c r="N198" t="s">
        <v>57</v>
      </c>
      <c r="O198" t="s">
        <v>58</v>
      </c>
      <c r="P198" t="s">
        <v>66</v>
      </c>
      <c r="Q198">
        <v>26876319</v>
      </c>
      <c r="R198" t="s">
        <v>37</v>
      </c>
      <c r="S198" t="s">
        <v>537</v>
      </c>
      <c r="T198" t="s">
        <v>39</v>
      </c>
      <c r="W198" s="5">
        <f ca="1">+(TODAY()-Tabla2[[#This Row],[FECHA DE NACIMIENTO]])/360</f>
        <v>128.05833333333334</v>
      </c>
    </row>
    <row r="199" spans="1:23" x14ac:dyDescent="0.45">
      <c r="A199" t="s">
        <v>23</v>
      </c>
      <c r="B199" t="s">
        <v>24</v>
      </c>
      <c r="C199" t="s">
        <v>706</v>
      </c>
      <c r="D199" s="1">
        <v>45674</v>
      </c>
      <c r="E199" t="s">
        <v>707</v>
      </c>
      <c r="F199" t="s">
        <v>708</v>
      </c>
      <c r="G199" t="s">
        <v>42</v>
      </c>
      <c r="H199" t="s">
        <v>69</v>
      </c>
      <c r="I199" t="s">
        <v>709</v>
      </c>
      <c r="J199" t="s">
        <v>94</v>
      </c>
      <c r="K199" t="s">
        <v>710</v>
      </c>
      <c r="L199">
        <v>945356300</v>
      </c>
      <c r="M199" t="s">
        <v>33</v>
      </c>
      <c r="N199" t="s">
        <v>34</v>
      </c>
      <c r="O199" t="s">
        <v>58</v>
      </c>
      <c r="P199" t="s">
        <v>66</v>
      </c>
      <c r="Q199">
        <v>16877597</v>
      </c>
      <c r="R199" t="s">
        <v>37</v>
      </c>
      <c r="S199" t="s">
        <v>38</v>
      </c>
      <c r="T199" t="s">
        <v>39</v>
      </c>
      <c r="U199" s="1">
        <v>45777</v>
      </c>
      <c r="W199" s="5">
        <f ca="1">+(TODAY()-Tabla2[[#This Row],[FECHA DE NACIMIENTO]])/360</f>
        <v>128.05833333333334</v>
      </c>
    </row>
    <row r="200" spans="1:23" x14ac:dyDescent="0.45">
      <c r="A200" t="s">
        <v>23</v>
      </c>
      <c r="B200" t="s">
        <v>24</v>
      </c>
      <c r="C200" t="s">
        <v>25</v>
      </c>
      <c r="D200" s="1">
        <v>45677</v>
      </c>
      <c r="E200" t="s">
        <v>711</v>
      </c>
      <c r="F200" t="s">
        <v>712</v>
      </c>
      <c r="G200" t="s">
        <v>42</v>
      </c>
      <c r="H200" t="s">
        <v>69</v>
      </c>
      <c r="I200" t="s">
        <v>713</v>
      </c>
      <c r="J200" t="s">
        <v>94</v>
      </c>
      <c r="K200" t="s">
        <v>714</v>
      </c>
      <c r="L200">
        <v>993241329</v>
      </c>
      <c r="M200" t="s">
        <v>56</v>
      </c>
      <c r="N200" t="s">
        <v>34</v>
      </c>
      <c r="O200" t="s">
        <v>35</v>
      </c>
      <c r="P200" t="s">
        <v>36</v>
      </c>
      <c r="Q200">
        <v>80892039</v>
      </c>
      <c r="R200" t="s">
        <v>37</v>
      </c>
      <c r="S200" t="s">
        <v>38</v>
      </c>
      <c r="T200" t="s">
        <v>39</v>
      </c>
      <c r="U200" s="1">
        <v>45961</v>
      </c>
      <c r="W200" s="5">
        <f ca="1">+(TODAY()-Tabla2[[#This Row],[FECHA DE NACIMIENTO]])/360</f>
        <v>128.05833333333334</v>
      </c>
    </row>
    <row r="201" spans="1:23" x14ac:dyDescent="0.45">
      <c r="A201" t="s">
        <v>23</v>
      </c>
      <c r="B201" t="s">
        <v>24</v>
      </c>
      <c r="C201" t="s">
        <v>706</v>
      </c>
      <c r="D201" s="1">
        <v>45677</v>
      </c>
      <c r="E201" t="s">
        <v>715</v>
      </c>
      <c r="F201" t="s">
        <v>716</v>
      </c>
      <c r="G201" t="s">
        <v>42</v>
      </c>
      <c r="H201" t="s">
        <v>29</v>
      </c>
      <c r="I201" t="s">
        <v>717</v>
      </c>
      <c r="J201" t="s">
        <v>436</v>
      </c>
      <c r="K201" t="s">
        <v>718</v>
      </c>
      <c r="L201">
        <v>983576355</v>
      </c>
      <c r="M201" t="s">
        <v>33</v>
      </c>
      <c r="N201" t="s">
        <v>57</v>
      </c>
      <c r="O201" t="s">
        <v>58</v>
      </c>
      <c r="P201" t="s">
        <v>66</v>
      </c>
      <c r="Q201">
        <v>268320310</v>
      </c>
      <c r="R201" t="s">
        <v>37</v>
      </c>
      <c r="S201" t="s">
        <v>38</v>
      </c>
      <c r="T201" t="s">
        <v>39</v>
      </c>
      <c r="U201" s="1">
        <v>45777</v>
      </c>
      <c r="W201" s="5">
        <f ca="1">+(TODAY()-Tabla2[[#This Row],[FECHA DE NACIMIENTO]])/360</f>
        <v>128.05833333333334</v>
      </c>
    </row>
    <row r="202" spans="1:23" x14ac:dyDescent="0.45">
      <c r="A202" t="s">
        <v>23</v>
      </c>
      <c r="B202" t="s">
        <v>609</v>
      </c>
      <c r="C202" t="s">
        <v>89</v>
      </c>
      <c r="D202" s="1">
        <v>45679</v>
      </c>
      <c r="E202" t="s">
        <v>719</v>
      </c>
      <c r="F202" t="s">
        <v>720</v>
      </c>
      <c r="G202" t="s">
        <v>42</v>
      </c>
      <c r="H202" t="s">
        <v>267</v>
      </c>
      <c r="I202" t="s">
        <v>721</v>
      </c>
      <c r="J202" t="s">
        <v>31</v>
      </c>
      <c r="K202" t="s">
        <v>722</v>
      </c>
      <c r="L202">
        <v>990352185</v>
      </c>
      <c r="M202" t="s">
        <v>33</v>
      </c>
      <c r="N202" t="s">
        <v>34</v>
      </c>
      <c r="O202" t="s">
        <v>58</v>
      </c>
      <c r="P202" t="s">
        <v>66</v>
      </c>
      <c r="Q202">
        <v>19904597</v>
      </c>
      <c r="R202" t="s">
        <v>37</v>
      </c>
      <c r="S202" t="s">
        <v>38</v>
      </c>
      <c r="T202" t="s">
        <v>39</v>
      </c>
      <c r="U202" s="1">
        <v>45716</v>
      </c>
      <c r="W202" s="5">
        <f ca="1">+(TODAY()-Tabla2[[#This Row],[FECHA DE NACIMIENTO]])/360</f>
        <v>128.05833333333334</v>
      </c>
    </row>
    <row r="203" spans="1:23" x14ac:dyDescent="0.45">
      <c r="A203" t="s">
        <v>23</v>
      </c>
      <c r="B203" t="s">
        <v>131</v>
      </c>
      <c r="C203" t="s">
        <v>89</v>
      </c>
      <c r="D203" s="1">
        <v>45679</v>
      </c>
      <c r="E203" t="s">
        <v>723</v>
      </c>
      <c r="F203" t="s">
        <v>724</v>
      </c>
      <c r="G203" t="s">
        <v>28</v>
      </c>
      <c r="H203" t="s">
        <v>69</v>
      </c>
      <c r="I203" t="s">
        <v>725</v>
      </c>
      <c r="J203" t="s">
        <v>246</v>
      </c>
      <c r="K203" t="s">
        <v>726</v>
      </c>
      <c r="L203">
        <v>948585437</v>
      </c>
      <c r="M203" t="s">
        <v>33</v>
      </c>
      <c r="N203" t="s">
        <v>34</v>
      </c>
      <c r="O203" t="s">
        <v>35</v>
      </c>
      <c r="P203" t="s">
        <v>96</v>
      </c>
      <c r="Q203">
        <v>30682151</v>
      </c>
      <c r="R203" t="s">
        <v>37</v>
      </c>
      <c r="S203" t="s">
        <v>38</v>
      </c>
      <c r="T203" t="s">
        <v>74</v>
      </c>
      <c r="U203" s="1">
        <v>45961</v>
      </c>
      <c r="W203" s="5">
        <f ca="1">+(TODAY()-Tabla2[[#This Row],[FECHA DE NACIMIENTO]])/360</f>
        <v>128.05833333333334</v>
      </c>
    </row>
    <row r="204" spans="1:23" x14ac:dyDescent="0.45">
      <c r="A204" t="s">
        <v>23</v>
      </c>
      <c r="B204" t="s">
        <v>108</v>
      </c>
      <c r="C204" t="s">
        <v>89</v>
      </c>
      <c r="D204" s="1">
        <v>45679</v>
      </c>
      <c r="E204" t="s">
        <v>727</v>
      </c>
      <c r="F204" t="s">
        <v>728</v>
      </c>
      <c r="G204" t="s">
        <v>28</v>
      </c>
      <c r="H204" t="s">
        <v>729</v>
      </c>
      <c r="I204" t="s">
        <v>730</v>
      </c>
      <c r="J204" t="s">
        <v>158</v>
      </c>
      <c r="K204" t="s">
        <v>731</v>
      </c>
      <c r="L204">
        <v>964570574</v>
      </c>
      <c r="M204" t="s">
        <v>33</v>
      </c>
      <c r="N204" t="s">
        <v>536</v>
      </c>
      <c r="O204" t="s">
        <v>58</v>
      </c>
      <c r="P204" t="s">
        <v>732</v>
      </c>
      <c r="Q204">
        <v>1051761252</v>
      </c>
      <c r="R204" t="s">
        <v>37</v>
      </c>
      <c r="S204" t="s">
        <v>137</v>
      </c>
      <c r="T204" t="s">
        <v>74</v>
      </c>
      <c r="U204" s="1">
        <v>45716</v>
      </c>
      <c r="W204" s="5">
        <f ca="1">+(TODAY()-Tabla2[[#This Row],[FECHA DE NACIMIENTO]])/360</f>
        <v>128.05833333333334</v>
      </c>
    </row>
    <row r="205" spans="1:23" x14ac:dyDescent="0.45">
      <c r="A205" t="s">
        <v>23</v>
      </c>
      <c r="B205" t="s">
        <v>131</v>
      </c>
      <c r="C205" t="s">
        <v>89</v>
      </c>
      <c r="D205" s="1">
        <v>45679</v>
      </c>
      <c r="E205" t="s">
        <v>733</v>
      </c>
      <c r="F205" t="s">
        <v>734</v>
      </c>
      <c r="G205" t="s">
        <v>42</v>
      </c>
      <c r="H205" t="s">
        <v>327</v>
      </c>
      <c r="I205" t="s">
        <v>735</v>
      </c>
      <c r="J205" t="s">
        <v>94</v>
      </c>
      <c r="K205" t="s">
        <v>736</v>
      </c>
      <c r="L205">
        <v>986677039</v>
      </c>
      <c r="M205" t="s">
        <v>33</v>
      </c>
      <c r="N205" t="s">
        <v>34</v>
      </c>
      <c r="O205" t="s">
        <v>58</v>
      </c>
      <c r="P205" t="s">
        <v>36</v>
      </c>
      <c r="Q205">
        <v>90368958</v>
      </c>
      <c r="R205" t="s">
        <v>37</v>
      </c>
      <c r="S205" t="s">
        <v>38</v>
      </c>
      <c r="T205" t="s">
        <v>74</v>
      </c>
      <c r="U205" s="1">
        <v>45716</v>
      </c>
      <c r="W205" s="5">
        <f ca="1">+(TODAY()-Tabla2[[#This Row],[FECHA DE NACIMIENTO]])/360</f>
        <v>128.05833333333334</v>
      </c>
    </row>
    <row r="206" spans="1:23" x14ac:dyDescent="0.45">
      <c r="A206" t="s">
        <v>23</v>
      </c>
      <c r="B206" t="s">
        <v>632</v>
      </c>
      <c r="C206" t="s">
        <v>633</v>
      </c>
      <c r="D206" s="1">
        <v>45679</v>
      </c>
      <c r="E206" t="s">
        <v>737</v>
      </c>
      <c r="F206" t="s">
        <v>738</v>
      </c>
      <c r="G206" t="s">
        <v>42</v>
      </c>
      <c r="H206" t="s">
        <v>69</v>
      </c>
      <c r="I206" t="s">
        <v>739</v>
      </c>
      <c r="J206" t="s">
        <v>142</v>
      </c>
      <c r="K206" t="s">
        <v>740</v>
      </c>
      <c r="L206">
        <v>934007764</v>
      </c>
      <c r="M206" t="s">
        <v>33</v>
      </c>
      <c r="N206" t="s">
        <v>34</v>
      </c>
      <c r="O206" t="s">
        <v>35</v>
      </c>
      <c r="P206" t="s">
        <v>82</v>
      </c>
      <c r="Q206">
        <v>19996475914</v>
      </c>
      <c r="R206" t="s">
        <v>37</v>
      </c>
      <c r="S206" t="s">
        <v>137</v>
      </c>
      <c r="T206" t="s">
        <v>74</v>
      </c>
      <c r="U206" s="1">
        <v>46022</v>
      </c>
      <c r="W206" s="5">
        <f ca="1">+(TODAY()-Tabla2[[#This Row],[FECHA DE NACIMIENTO]])/360</f>
        <v>128.05833333333334</v>
      </c>
    </row>
    <row r="207" spans="1:23" x14ac:dyDescent="0.45">
      <c r="A207" t="s">
        <v>23</v>
      </c>
      <c r="B207" t="s">
        <v>609</v>
      </c>
      <c r="C207" t="s">
        <v>89</v>
      </c>
      <c r="D207" s="1">
        <v>45679</v>
      </c>
      <c r="E207" t="s">
        <v>741</v>
      </c>
      <c r="F207" t="s">
        <v>742</v>
      </c>
      <c r="G207" t="s">
        <v>42</v>
      </c>
      <c r="H207" t="s">
        <v>69</v>
      </c>
      <c r="I207" t="s">
        <v>743</v>
      </c>
      <c r="J207" t="s">
        <v>370</v>
      </c>
      <c r="K207" t="s">
        <v>744</v>
      </c>
      <c r="L207">
        <v>963891398</v>
      </c>
      <c r="M207" t="s">
        <v>33</v>
      </c>
      <c r="N207" t="s">
        <v>34</v>
      </c>
      <c r="O207" t="s">
        <v>58</v>
      </c>
      <c r="P207" t="s">
        <v>66</v>
      </c>
      <c r="Q207">
        <v>88233999</v>
      </c>
      <c r="R207" t="s">
        <v>37</v>
      </c>
      <c r="S207" t="s">
        <v>38</v>
      </c>
      <c r="T207" t="s">
        <v>39</v>
      </c>
      <c r="U207" s="1">
        <v>45961</v>
      </c>
      <c r="W207" s="5">
        <f ca="1">+(TODAY()-Tabla2[[#This Row],[FECHA DE NACIMIENTO]])/360</f>
        <v>128.05833333333334</v>
      </c>
    </row>
    <row r="208" spans="1:23" x14ac:dyDescent="0.45">
      <c r="A208" t="s">
        <v>23</v>
      </c>
      <c r="B208" t="s">
        <v>88</v>
      </c>
      <c r="C208" t="s">
        <v>89</v>
      </c>
      <c r="D208" s="1">
        <v>45679</v>
      </c>
      <c r="E208" t="s">
        <v>745</v>
      </c>
      <c r="F208" t="s">
        <v>746</v>
      </c>
      <c r="G208" t="s">
        <v>42</v>
      </c>
      <c r="H208" t="s">
        <v>267</v>
      </c>
      <c r="I208" t="s">
        <v>747</v>
      </c>
      <c r="J208" t="s">
        <v>748</v>
      </c>
      <c r="K208" t="s">
        <v>749</v>
      </c>
      <c r="L208">
        <v>965437806</v>
      </c>
      <c r="M208" t="s">
        <v>81</v>
      </c>
      <c r="N208" t="s">
        <v>34</v>
      </c>
      <c r="O208" t="s">
        <v>58</v>
      </c>
      <c r="P208" t="s">
        <v>66</v>
      </c>
      <c r="Q208">
        <v>10646088</v>
      </c>
      <c r="R208" t="s">
        <v>37</v>
      </c>
      <c r="S208" t="s">
        <v>137</v>
      </c>
      <c r="T208" t="s">
        <v>74</v>
      </c>
      <c r="U208" s="1">
        <v>45777</v>
      </c>
      <c r="W208" s="5">
        <f ca="1">+(TODAY()-Tabla2[[#This Row],[FECHA DE NACIMIENTO]])/360</f>
        <v>128.05833333333334</v>
      </c>
    </row>
    <row r="209" spans="1:23" x14ac:dyDescent="0.45">
      <c r="A209" t="s">
        <v>23</v>
      </c>
      <c r="B209" t="s">
        <v>88</v>
      </c>
      <c r="C209" t="s">
        <v>89</v>
      </c>
      <c r="D209" s="1">
        <v>45679</v>
      </c>
      <c r="E209" t="s">
        <v>750</v>
      </c>
      <c r="F209" t="s">
        <v>751</v>
      </c>
      <c r="G209" t="s">
        <v>42</v>
      </c>
      <c r="H209" t="s">
        <v>69</v>
      </c>
      <c r="I209" t="s">
        <v>752</v>
      </c>
      <c r="J209" t="s">
        <v>54</v>
      </c>
      <c r="K209" t="s">
        <v>753</v>
      </c>
      <c r="L209">
        <v>972087535</v>
      </c>
      <c r="M209" t="s">
        <v>33</v>
      </c>
      <c r="N209" t="s">
        <v>34</v>
      </c>
      <c r="O209" t="s">
        <v>58</v>
      </c>
      <c r="P209" t="s">
        <v>66</v>
      </c>
      <c r="Q209">
        <v>8814661</v>
      </c>
      <c r="R209" t="s">
        <v>37</v>
      </c>
      <c r="S209" t="s">
        <v>137</v>
      </c>
      <c r="T209" t="s">
        <v>74</v>
      </c>
      <c r="U209" s="1">
        <v>45777</v>
      </c>
      <c r="W209" s="5">
        <f ca="1">+(TODAY()-Tabla2[[#This Row],[FECHA DE NACIMIENTO]])/360</f>
        <v>128.05833333333334</v>
      </c>
    </row>
    <row r="210" spans="1:23" x14ac:dyDescent="0.45">
      <c r="A210" t="s">
        <v>23</v>
      </c>
      <c r="B210" t="s">
        <v>217</v>
      </c>
      <c r="C210" t="s">
        <v>89</v>
      </c>
      <c r="D210" s="1">
        <v>45679</v>
      </c>
      <c r="E210" t="s">
        <v>754</v>
      </c>
      <c r="F210" t="s">
        <v>755</v>
      </c>
      <c r="G210" t="s">
        <v>42</v>
      </c>
      <c r="H210" t="s">
        <v>756</v>
      </c>
      <c r="I210" t="s">
        <v>757</v>
      </c>
      <c r="J210" t="s">
        <v>94</v>
      </c>
      <c r="K210" t="s">
        <v>758</v>
      </c>
      <c r="L210">
        <v>993340592</v>
      </c>
      <c r="M210" t="s">
        <v>33</v>
      </c>
      <c r="N210" t="s">
        <v>34</v>
      </c>
      <c r="O210" t="s">
        <v>35</v>
      </c>
      <c r="P210" t="s">
        <v>96</v>
      </c>
      <c r="Q210">
        <v>72845309</v>
      </c>
      <c r="R210" t="s">
        <v>37</v>
      </c>
      <c r="S210" t="s">
        <v>137</v>
      </c>
      <c r="T210" t="s">
        <v>74</v>
      </c>
      <c r="U210" s="1">
        <v>45716</v>
      </c>
      <c r="W210" s="5">
        <f ca="1">+(TODAY()-Tabla2[[#This Row],[FECHA DE NACIMIENTO]])/360</f>
        <v>128.05833333333334</v>
      </c>
    </row>
    <row r="211" spans="1:23" x14ac:dyDescent="0.45">
      <c r="A211" t="s">
        <v>23</v>
      </c>
      <c r="B211" t="s">
        <v>306</v>
      </c>
      <c r="C211" t="s">
        <v>89</v>
      </c>
      <c r="D211" s="1">
        <v>45679</v>
      </c>
      <c r="E211" t="s">
        <v>759</v>
      </c>
      <c r="F211" t="s">
        <v>760</v>
      </c>
      <c r="G211" t="s">
        <v>42</v>
      </c>
      <c r="H211" t="s">
        <v>267</v>
      </c>
      <c r="I211" t="s">
        <v>761</v>
      </c>
      <c r="J211" t="s">
        <v>45</v>
      </c>
      <c r="K211" t="s">
        <v>762</v>
      </c>
      <c r="L211">
        <v>984929580</v>
      </c>
      <c r="M211" t="s">
        <v>33</v>
      </c>
      <c r="N211" t="s">
        <v>57</v>
      </c>
      <c r="O211" t="s">
        <v>58</v>
      </c>
      <c r="P211" t="s">
        <v>66</v>
      </c>
      <c r="Q211">
        <v>27187946</v>
      </c>
      <c r="R211" t="s">
        <v>37</v>
      </c>
      <c r="S211" t="s">
        <v>137</v>
      </c>
      <c r="T211" t="s">
        <v>74</v>
      </c>
      <c r="U211" s="1">
        <v>45777</v>
      </c>
      <c r="W211" s="5">
        <f ca="1">+(TODAY()-Tabla2[[#This Row],[FECHA DE NACIMIENTO]])/360</f>
        <v>128.05833333333334</v>
      </c>
    </row>
    <row r="212" spans="1:23" x14ac:dyDescent="0.45">
      <c r="A212" t="s">
        <v>23</v>
      </c>
      <c r="B212" t="s">
        <v>88</v>
      </c>
      <c r="C212" t="s">
        <v>89</v>
      </c>
      <c r="D212" s="1">
        <v>45679</v>
      </c>
      <c r="E212" t="s">
        <v>763</v>
      </c>
      <c r="F212" t="s">
        <v>764</v>
      </c>
      <c r="G212" t="s">
        <v>42</v>
      </c>
      <c r="H212" t="s">
        <v>430</v>
      </c>
      <c r="I212" t="s">
        <v>765</v>
      </c>
      <c r="J212" t="s">
        <v>204</v>
      </c>
      <c r="K212" t="s">
        <v>766</v>
      </c>
      <c r="L212">
        <v>996460480</v>
      </c>
      <c r="M212" t="s">
        <v>33</v>
      </c>
      <c r="N212" t="s">
        <v>34</v>
      </c>
      <c r="O212" t="s">
        <v>58</v>
      </c>
      <c r="P212" t="s">
        <v>36</v>
      </c>
      <c r="Q212">
        <v>7058113691</v>
      </c>
      <c r="R212" t="s">
        <v>37</v>
      </c>
      <c r="S212" t="s">
        <v>38</v>
      </c>
      <c r="T212" t="s">
        <v>89</v>
      </c>
      <c r="U212" s="1">
        <v>45838</v>
      </c>
      <c r="W212" s="5">
        <f ca="1">+(TODAY()-Tabla2[[#This Row],[FECHA DE NACIMIENTO]])/360</f>
        <v>128.05833333333334</v>
      </c>
    </row>
    <row r="213" spans="1:23" x14ac:dyDescent="0.45">
      <c r="A213" t="s">
        <v>23</v>
      </c>
      <c r="B213" t="s">
        <v>24</v>
      </c>
      <c r="C213" t="s">
        <v>767</v>
      </c>
      <c r="D213" s="1">
        <v>45689</v>
      </c>
      <c r="E213" t="s">
        <v>768</v>
      </c>
      <c r="F213" t="s">
        <v>632</v>
      </c>
      <c r="G213" t="s">
        <v>28</v>
      </c>
      <c r="H213" t="s">
        <v>69</v>
      </c>
      <c r="I213" t="s">
        <v>769</v>
      </c>
      <c r="J213" t="s">
        <v>181</v>
      </c>
      <c r="K213" t="s">
        <v>770</v>
      </c>
      <c r="L213">
        <v>939454393</v>
      </c>
      <c r="M213" t="s">
        <v>56</v>
      </c>
      <c r="N213" t="s">
        <v>771</v>
      </c>
      <c r="O213" t="s">
        <v>58</v>
      </c>
      <c r="P213" t="s">
        <v>66</v>
      </c>
      <c r="Q213">
        <v>28782872</v>
      </c>
      <c r="R213" t="s">
        <v>60</v>
      </c>
      <c r="S213" t="s">
        <v>38</v>
      </c>
      <c r="T213" t="s">
        <v>39</v>
      </c>
      <c r="W213" s="5">
        <f ca="1">+(TODAY()-Tabla2[[#This Row],[FECHA DE NACIMIENTO]])/360</f>
        <v>128.05833333333334</v>
      </c>
    </row>
    <row r="214" spans="1:23" x14ac:dyDescent="0.45">
      <c r="A214" t="s">
        <v>23</v>
      </c>
      <c r="B214" t="s">
        <v>24</v>
      </c>
      <c r="C214" t="s">
        <v>706</v>
      </c>
      <c r="D214" s="1">
        <v>45691</v>
      </c>
      <c r="E214" t="s">
        <v>772</v>
      </c>
      <c r="F214" t="s">
        <v>773</v>
      </c>
      <c r="G214" t="s">
        <v>28</v>
      </c>
      <c r="H214" t="s">
        <v>774</v>
      </c>
      <c r="I214" t="s">
        <v>775</v>
      </c>
      <c r="J214" t="s">
        <v>142</v>
      </c>
      <c r="K214" t="s">
        <v>776</v>
      </c>
      <c r="L214">
        <v>971405893</v>
      </c>
      <c r="M214" t="s">
        <v>56</v>
      </c>
      <c r="N214" t="s">
        <v>34</v>
      </c>
      <c r="O214" t="s">
        <v>58</v>
      </c>
      <c r="P214" t="s">
        <v>66</v>
      </c>
      <c r="Q214">
        <v>13896930</v>
      </c>
      <c r="R214" t="s">
        <v>37</v>
      </c>
      <c r="S214" t="s">
        <v>38</v>
      </c>
      <c r="T214" t="s">
        <v>39</v>
      </c>
      <c r="U214" s="1">
        <v>45777</v>
      </c>
      <c r="W214" s="5">
        <f ca="1">+(TODAY()-Tabla2[[#This Row],[FECHA DE NACIMIENTO]])/360</f>
        <v>128.05833333333334</v>
      </c>
    </row>
    <row r="215" spans="1:23" x14ac:dyDescent="0.45">
      <c r="A215" t="s">
        <v>23</v>
      </c>
      <c r="B215" t="s">
        <v>777</v>
      </c>
      <c r="C215" t="s">
        <v>89</v>
      </c>
      <c r="D215" s="1">
        <v>45697</v>
      </c>
      <c r="E215" t="s">
        <v>114</v>
      </c>
      <c r="F215" t="s">
        <v>115</v>
      </c>
      <c r="G215" t="s">
        <v>42</v>
      </c>
      <c r="H215" t="s">
        <v>116</v>
      </c>
      <c r="I215" t="s">
        <v>117</v>
      </c>
      <c r="J215" t="s">
        <v>45</v>
      </c>
      <c r="K215" t="s">
        <v>118</v>
      </c>
      <c r="L215">
        <v>935564184</v>
      </c>
      <c r="M215" t="s">
        <v>33</v>
      </c>
      <c r="N215" t="s">
        <v>57</v>
      </c>
      <c r="O215" t="s">
        <v>35</v>
      </c>
      <c r="P215" t="s">
        <v>36</v>
      </c>
      <c r="Q215">
        <v>83165910</v>
      </c>
      <c r="R215" t="s">
        <v>60</v>
      </c>
      <c r="S215" t="s">
        <v>38</v>
      </c>
      <c r="T215" t="s">
        <v>39</v>
      </c>
      <c r="U215" s="1">
        <v>45777</v>
      </c>
      <c r="W215" s="5">
        <f ca="1">+(TODAY()-Tabla2[[#This Row],[FECHA DE NACIMIENTO]])/360</f>
        <v>128.05833333333334</v>
      </c>
    </row>
    <row r="216" spans="1:23" x14ac:dyDescent="0.45">
      <c r="A216" t="s">
        <v>23</v>
      </c>
      <c r="B216" t="s">
        <v>88</v>
      </c>
      <c r="C216" t="s">
        <v>89</v>
      </c>
      <c r="D216" s="1">
        <v>45707</v>
      </c>
      <c r="E216" t="s">
        <v>778</v>
      </c>
      <c r="F216" t="s">
        <v>779</v>
      </c>
      <c r="G216" t="s">
        <v>28</v>
      </c>
      <c r="H216" t="s">
        <v>780</v>
      </c>
      <c r="I216" t="s">
        <v>781</v>
      </c>
      <c r="J216" t="s">
        <v>364</v>
      </c>
      <c r="K216" t="s">
        <v>782</v>
      </c>
      <c r="L216">
        <v>953677400</v>
      </c>
      <c r="M216" t="s">
        <v>56</v>
      </c>
      <c r="N216" t="s">
        <v>34</v>
      </c>
      <c r="O216" t="s">
        <v>35</v>
      </c>
      <c r="P216" t="s">
        <v>130</v>
      </c>
      <c r="Q216">
        <v>987293098</v>
      </c>
      <c r="R216" t="s">
        <v>37</v>
      </c>
      <c r="S216" t="s">
        <v>38</v>
      </c>
      <c r="T216" t="s">
        <v>39</v>
      </c>
      <c r="U216" s="1">
        <v>46022</v>
      </c>
      <c r="W216" s="5">
        <f ca="1">+(TODAY()-Tabla2[[#This Row],[FECHA DE NACIMIENTO]])/360</f>
        <v>128.05833333333334</v>
      </c>
    </row>
    <row r="217" spans="1:23" x14ac:dyDescent="0.45">
      <c r="A217" t="s">
        <v>23</v>
      </c>
      <c r="B217" t="s">
        <v>632</v>
      </c>
      <c r="C217" t="s">
        <v>633</v>
      </c>
      <c r="D217" s="1">
        <v>45707</v>
      </c>
      <c r="E217" t="s">
        <v>783</v>
      </c>
      <c r="F217" t="s">
        <v>784</v>
      </c>
      <c r="G217" t="s">
        <v>28</v>
      </c>
      <c r="H217" t="s">
        <v>785</v>
      </c>
      <c r="I217" t="s">
        <v>786</v>
      </c>
      <c r="J217" t="s">
        <v>370</v>
      </c>
      <c r="K217" t="s">
        <v>787</v>
      </c>
      <c r="L217">
        <v>997442854</v>
      </c>
      <c r="M217" t="s">
        <v>56</v>
      </c>
      <c r="N217" t="s">
        <v>34</v>
      </c>
      <c r="O217" t="s">
        <v>35</v>
      </c>
      <c r="P217" t="s">
        <v>82</v>
      </c>
      <c r="Q217">
        <v>15841716131</v>
      </c>
      <c r="R217" t="s">
        <v>60</v>
      </c>
      <c r="S217" t="s">
        <v>137</v>
      </c>
      <c r="T217" t="s">
        <v>74</v>
      </c>
      <c r="W217" s="5">
        <f ca="1">+(TODAY()-Tabla2[[#This Row],[FECHA DE NACIMIENTO]])/360</f>
        <v>128.05833333333334</v>
      </c>
    </row>
    <row r="218" spans="1:23" x14ac:dyDescent="0.45">
      <c r="A218" t="s">
        <v>23</v>
      </c>
      <c r="B218" t="s">
        <v>131</v>
      </c>
      <c r="C218" t="s">
        <v>89</v>
      </c>
      <c r="D218" s="1">
        <v>45712</v>
      </c>
      <c r="E218" t="s">
        <v>788</v>
      </c>
      <c r="F218" t="s">
        <v>789</v>
      </c>
      <c r="G218" t="s">
        <v>42</v>
      </c>
      <c r="H218" t="s">
        <v>146</v>
      </c>
      <c r="I218" t="s">
        <v>790</v>
      </c>
      <c r="J218" t="s">
        <v>31</v>
      </c>
      <c r="K218" t="s">
        <v>791</v>
      </c>
      <c r="L218">
        <v>966571650</v>
      </c>
      <c r="M218" t="s">
        <v>56</v>
      </c>
      <c r="N218" t="s">
        <v>34</v>
      </c>
      <c r="O218" t="s">
        <v>35</v>
      </c>
      <c r="P218" t="s">
        <v>36</v>
      </c>
      <c r="Q218">
        <v>78489812</v>
      </c>
      <c r="R218" t="s">
        <v>37</v>
      </c>
      <c r="S218" t="s">
        <v>38</v>
      </c>
      <c r="T218" t="s">
        <v>74</v>
      </c>
      <c r="U218" s="1">
        <v>45838</v>
      </c>
      <c r="W218" s="5">
        <f ca="1">+(TODAY()-Tabla2[[#This Row],[FECHA DE NACIMIENTO]])/360</f>
        <v>128.05833333333334</v>
      </c>
    </row>
    <row r="219" spans="1:23" x14ac:dyDescent="0.45">
      <c r="A219" t="s">
        <v>23</v>
      </c>
      <c r="B219" t="s">
        <v>131</v>
      </c>
      <c r="C219" t="s">
        <v>89</v>
      </c>
      <c r="D219" s="1">
        <v>45728</v>
      </c>
      <c r="E219" t="s">
        <v>792</v>
      </c>
      <c r="F219" t="s">
        <v>793</v>
      </c>
      <c r="G219" t="s">
        <v>42</v>
      </c>
      <c r="H219" t="s">
        <v>794</v>
      </c>
      <c r="I219" t="s">
        <v>795</v>
      </c>
      <c r="J219" t="s">
        <v>31</v>
      </c>
      <c r="K219" t="s">
        <v>796</v>
      </c>
      <c r="L219">
        <v>949613470</v>
      </c>
      <c r="M219" t="s">
        <v>56</v>
      </c>
      <c r="N219" t="s">
        <v>34</v>
      </c>
      <c r="O219" t="s">
        <v>58</v>
      </c>
      <c r="P219" t="s">
        <v>66</v>
      </c>
      <c r="Q219">
        <v>116260034</v>
      </c>
      <c r="R219" t="s">
        <v>37</v>
      </c>
      <c r="S219" t="s">
        <v>123</v>
      </c>
      <c r="T219" t="s">
        <v>124</v>
      </c>
      <c r="U219" s="1">
        <v>45900</v>
      </c>
      <c r="W219" s="5">
        <f ca="1">+(TODAY()-Tabla2[[#This Row],[FECHA DE NACIMIENTO]])/360</f>
        <v>128.05833333333334</v>
      </c>
    </row>
    <row r="220" spans="1:23" x14ac:dyDescent="0.45">
      <c r="A220" t="s">
        <v>23</v>
      </c>
      <c r="B220" t="s">
        <v>125</v>
      </c>
      <c r="C220" t="s">
        <v>89</v>
      </c>
      <c r="D220" s="1">
        <v>45739</v>
      </c>
      <c r="E220" t="s">
        <v>797</v>
      </c>
      <c r="F220" t="s">
        <v>798</v>
      </c>
      <c r="G220" t="s">
        <v>42</v>
      </c>
      <c r="H220" t="s">
        <v>799</v>
      </c>
      <c r="I220" t="s">
        <v>800</v>
      </c>
      <c r="J220" t="s">
        <v>31</v>
      </c>
      <c r="K220" t="s">
        <v>801</v>
      </c>
      <c r="L220">
        <v>987472055</v>
      </c>
      <c r="M220" t="s">
        <v>56</v>
      </c>
      <c r="N220" t="s">
        <v>34</v>
      </c>
      <c r="O220" t="s">
        <v>58</v>
      </c>
      <c r="P220" t="s">
        <v>66</v>
      </c>
      <c r="Q220">
        <v>17779681</v>
      </c>
      <c r="R220" t="s">
        <v>37</v>
      </c>
      <c r="S220" t="s">
        <v>38</v>
      </c>
      <c r="T220" t="s">
        <v>39</v>
      </c>
      <c r="W220" s="5">
        <f ca="1">+(TODAY()-Tabla2[[#This Row],[FECHA DE NACIMIENTO]])/360</f>
        <v>128.05833333333334</v>
      </c>
    </row>
    <row r="221" spans="1:23" x14ac:dyDescent="0.45">
      <c r="A221" t="s">
        <v>23</v>
      </c>
      <c r="B221" t="s">
        <v>632</v>
      </c>
      <c r="C221" t="s">
        <v>633</v>
      </c>
      <c r="D221" s="1">
        <v>45739</v>
      </c>
      <c r="E221" t="s">
        <v>802</v>
      </c>
      <c r="F221" t="s">
        <v>803</v>
      </c>
      <c r="G221" t="s">
        <v>42</v>
      </c>
      <c r="H221" t="s">
        <v>804</v>
      </c>
      <c r="I221" t="s">
        <v>805</v>
      </c>
      <c r="J221" t="s">
        <v>638</v>
      </c>
      <c r="K221" t="s">
        <v>806</v>
      </c>
      <c r="L221">
        <v>986605864</v>
      </c>
      <c r="M221" t="s">
        <v>33</v>
      </c>
      <c r="N221" t="s">
        <v>57</v>
      </c>
      <c r="O221" t="s">
        <v>58</v>
      </c>
      <c r="P221" t="s">
        <v>96</v>
      </c>
      <c r="Q221">
        <v>23311592</v>
      </c>
      <c r="R221" t="s">
        <v>37</v>
      </c>
      <c r="S221" t="s">
        <v>38</v>
      </c>
      <c r="T221" t="s">
        <v>74</v>
      </c>
      <c r="U221" s="1">
        <v>45991</v>
      </c>
      <c r="W221" s="5">
        <f ca="1">+(TODAY()-Tabla2[[#This Row],[FECHA DE NACIMIENTO]])/360</f>
        <v>128.05833333333334</v>
      </c>
    </row>
    <row r="222" spans="1:23" x14ac:dyDescent="0.45">
      <c r="A222" t="s">
        <v>23</v>
      </c>
      <c r="B222" t="s">
        <v>632</v>
      </c>
      <c r="C222" t="s">
        <v>633</v>
      </c>
      <c r="D222" s="1">
        <v>45741</v>
      </c>
      <c r="E222" t="s">
        <v>807</v>
      </c>
      <c r="F222" t="s">
        <v>808</v>
      </c>
      <c r="G222" t="s">
        <v>42</v>
      </c>
      <c r="H222" t="s">
        <v>809</v>
      </c>
      <c r="I222" t="s">
        <v>810</v>
      </c>
      <c r="J222" t="s">
        <v>643</v>
      </c>
      <c r="K222" t="s">
        <v>811</v>
      </c>
      <c r="L222">
        <v>939453916</v>
      </c>
      <c r="M222" t="s">
        <v>33</v>
      </c>
      <c r="N222" t="s">
        <v>57</v>
      </c>
      <c r="O222" t="s">
        <v>58</v>
      </c>
      <c r="P222" t="s">
        <v>492</v>
      </c>
      <c r="Q222">
        <v>111126744348</v>
      </c>
      <c r="R222" t="s">
        <v>60</v>
      </c>
      <c r="S222" t="s">
        <v>137</v>
      </c>
      <c r="T222" t="s">
        <v>74</v>
      </c>
      <c r="U222" s="1">
        <v>45991</v>
      </c>
      <c r="W222" s="5">
        <f ca="1">+(TODAY()-Tabla2[[#This Row],[FECHA DE NACIMIENTO]])/360</f>
        <v>128.05833333333334</v>
      </c>
    </row>
    <row r="223" spans="1:23" x14ac:dyDescent="0.45">
      <c r="A223" t="s">
        <v>23</v>
      </c>
      <c r="B223" t="s">
        <v>812</v>
      </c>
      <c r="C223" t="s">
        <v>89</v>
      </c>
      <c r="D223" s="1">
        <v>45741</v>
      </c>
      <c r="E223" t="s">
        <v>813</v>
      </c>
      <c r="F223" t="s">
        <v>814</v>
      </c>
      <c r="G223" t="s">
        <v>42</v>
      </c>
      <c r="H223" t="s">
        <v>239</v>
      </c>
      <c r="I223" t="s">
        <v>815</v>
      </c>
      <c r="J223" t="s">
        <v>204</v>
      </c>
      <c r="K223" t="s">
        <v>816</v>
      </c>
      <c r="L223">
        <v>930358779</v>
      </c>
      <c r="M223" t="s">
        <v>33</v>
      </c>
      <c r="N223" t="s">
        <v>34</v>
      </c>
      <c r="O223" t="s">
        <v>58</v>
      </c>
      <c r="P223" t="s">
        <v>82</v>
      </c>
      <c r="Q223">
        <v>55200086618</v>
      </c>
      <c r="R223" t="s">
        <v>37</v>
      </c>
      <c r="S223" t="s">
        <v>38</v>
      </c>
      <c r="T223" t="s">
        <v>39</v>
      </c>
      <c r="U223" s="1">
        <v>45838</v>
      </c>
      <c r="W223" s="5">
        <f ca="1">+(TODAY()-Tabla2[[#This Row],[FECHA DE NACIMIENTO]])/360</f>
        <v>128.05833333333334</v>
      </c>
    </row>
    <row r="224" spans="1:23" x14ac:dyDescent="0.45">
      <c r="A224" t="s">
        <v>23</v>
      </c>
      <c r="B224" t="s">
        <v>777</v>
      </c>
      <c r="C224" t="s">
        <v>89</v>
      </c>
      <c r="D224" s="1">
        <v>45756</v>
      </c>
      <c r="E224" t="s">
        <v>817</v>
      </c>
      <c r="F224" t="s">
        <v>818</v>
      </c>
      <c r="G224" t="s">
        <v>42</v>
      </c>
      <c r="H224" t="s">
        <v>69</v>
      </c>
      <c r="I224" t="s">
        <v>819</v>
      </c>
      <c r="J224" t="s">
        <v>820</v>
      </c>
      <c r="K224" t="s">
        <v>821</v>
      </c>
      <c r="L224">
        <v>935552726</v>
      </c>
      <c r="M224" t="s">
        <v>33</v>
      </c>
      <c r="N224" t="s">
        <v>34</v>
      </c>
      <c r="O224" t="s">
        <v>58</v>
      </c>
      <c r="P224" t="s">
        <v>66</v>
      </c>
      <c r="Q224">
        <v>190649687</v>
      </c>
      <c r="R224" t="s">
        <v>60</v>
      </c>
      <c r="S224" t="s">
        <v>137</v>
      </c>
      <c r="T224" t="s">
        <v>74</v>
      </c>
      <c r="W224" s="5">
        <f ca="1">+(TODAY()-Tabla2[[#This Row],[FECHA DE NACIMIENTO]])/360</f>
        <v>128.05833333333334</v>
      </c>
    </row>
    <row r="225" spans="1:23" x14ac:dyDescent="0.45">
      <c r="A225" t="s">
        <v>23</v>
      </c>
      <c r="B225" t="s">
        <v>822</v>
      </c>
      <c r="C225" t="s">
        <v>89</v>
      </c>
      <c r="D225" s="1">
        <v>45761</v>
      </c>
      <c r="E225" t="s">
        <v>823</v>
      </c>
      <c r="F225" t="s">
        <v>824</v>
      </c>
      <c r="G225" t="s">
        <v>42</v>
      </c>
      <c r="I225" t="s">
        <v>825</v>
      </c>
      <c r="J225" t="s">
        <v>316</v>
      </c>
      <c r="K225" t="s">
        <v>826</v>
      </c>
      <c r="L225">
        <v>962517615</v>
      </c>
      <c r="M225" t="s">
        <v>33</v>
      </c>
      <c r="N225" t="s">
        <v>34</v>
      </c>
      <c r="O225" t="s">
        <v>35</v>
      </c>
      <c r="P225" t="s">
        <v>96</v>
      </c>
      <c r="Q225">
        <v>777920020439</v>
      </c>
      <c r="R225" t="s">
        <v>37</v>
      </c>
      <c r="S225" t="s">
        <v>537</v>
      </c>
      <c r="T225" t="s">
        <v>39</v>
      </c>
      <c r="U225" s="1">
        <v>45838</v>
      </c>
      <c r="W225" s="5">
        <f ca="1">+(TODAY()-Tabla2[[#This Row],[FECHA DE NACIMIENTO]])/360</f>
        <v>128.05833333333334</v>
      </c>
    </row>
    <row r="226" spans="1:23" x14ac:dyDescent="0.45">
      <c r="A226" t="s">
        <v>23</v>
      </c>
      <c r="B226" t="s">
        <v>125</v>
      </c>
      <c r="C226" t="s">
        <v>89</v>
      </c>
      <c r="D226" s="1">
        <v>45761</v>
      </c>
      <c r="E226" t="s">
        <v>827</v>
      </c>
      <c r="F226" t="s">
        <v>828</v>
      </c>
      <c r="G226" t="s">
        <v>42</v>
      </c>
      <c r="I226" t="s">
        <v>829</v>
      </c>
      <c r="J226" t="s">
        <v>820</v>
      </c>
      <c r="K226" t="s">
        <v>830</v>
      </c>
      <c r="L226">
        <v>976200830</v>
      </c>
      <c r="M226" t="s">
        <v>683</v>
      </c>
      <c r="N226" t="s">
        <v>34</v>
      </c>
      <c r="O226" t="s">
        <v>35</v>
      </c>
      <c r="P226" t="s">
        <v>96</v>
      </c>
      <c r="Q226">
        <v>53507410</v>
      </c>
      <c r="R226" t="s">
        <v>37</v>
      </c>
      <c r="S226" t="s">
        <v>537</v>
      </c>
      <c r="T226" t="s">
        <v>39</v>
      </c>
      <c r="U226" s="1">
        <v>45869</v>
      </c>
      <c r="W226" s="5">
        <f ca="1">+(TODAY()-Tabla2[[#This Row],[FECHA DE NACIMIENTO]])/360</f>
        <v>128.05833333333334</v>
      </c>
    </row>
    <row r="227" spans="1:23" x14ac:dyDescent="0.45">
      <c r="A227" t="s">
        <v>23</v>
      </c>
      <c r="B227" t="s">
        <v>388</v>
      </c>
      <c r="C227" t="s">
        <v>89</v>
      </c>
      <c r="D227" s="1">
        <v>45761</v>
      </c>
      <c r="E227" t="s">
        <v>831</v>
      </c>
      <c r="F227" t="s">
        <v>832</v>
      </c>
      <c r="G227" t="s">
        <v>28</v>
      </c>
      <c r="H227" t="s">
        <v>69</v>
      </c>
      <c r="I227" t="s">
        <v>833</v>
      </c>
      <c r="J227" t="s">
        <v>834</v>
      </c>
      <c r="K227" t="s">
        <v>835</v>
      </c>
      <c r="L227">
        <v>927379946</v>
      </c>
      <c r="M227" t="s">
        <v>33</v>
      </c>
      <c r="N227" t="s">
        <v>34</v>
      </c>
      <c r="O227" t="s">
        <v>58</v>
      </c>
      <c r="P227" t="s">
        <v>66</v>
      </c>
      <c r="Q227">
        <v>19739643</v>
      </c>
      <c r="R227" t="s">
        <v>60</v>
      </c>
      <c r="S227" t="s">
        <v>537</v>
      </c>
      <c r="T227" t="s">
        <v>39</v>
      </c>
      <c r="W227" s="5">
        <f ca="1">+(TODAY()-Tabla2[[#This Row],[FECHA DE NACIMIENTO]])/360</f>
        <v>128.05833333333334</v>
      </c>
    </row>
    <row r="228" spans="1:23" x14ac:dyDescent="0.45">
      <c r="A228" t="s">
        <v>23</v>
      </c>
      <c r="B228" t="s">
        <v>632</v>
      </c>
      <c r="C228" t="s">
        <v>633</v>
      </c>
      <c r="D228" s="1">
        <v>45761</v>
      </c>
      <c r="E228" t="s">
        <v>836</v>
      </c>
      <c r="F228" t="s">
        <v>837</v>
      </c>
      <c r="G228" t="s">
        <v>42</v>
      </c>
      <c r="H228" t="s">
        <v>69</v>
      </c>
      <c r="I228" t="s">
        <v>838</v>
      </c>
      <c r="J228" t="s">
        <v>436</v>
      </c>
      <c r="K228" t="s">
        <v>839</v>
      </c>
      <c r="L228">
        <v>920133429</v>
      </c>
      <c r="M228" t="s">
        <v>33</v>
      </c>
      <c r="N228" t="s">
        <v>34</v>
      </c>
      <c r="O228" t="s">
        <v>35</v>
      </c>
      <c r="P228" t="s">
        <v>82</v>
      </c>
      <c r="Q228">
        <v>19994416923</v>
      </c>
      <c r="R228" t="s">
        <v>37</v>
      </c>
      <c r="S228" t="s">
        <v>137</v>
      </c>
      <c r="T228" t="s">
        <v>74</v>
      </c>
      <c r="U228" s="1">
        <v>45961</v>
      </c>
      <c r="W228" s="5">
        <f ca="1">+(TODAY()-Tabla2[[#This Row],[FECHA DE NACIMIENTO]])/360</f>
        <v>128.05833333333334</v>
      </c>
    </row>
    <row r="229" spans="1:23" x14ac:dyDescent="0.45">
      <c r="A229" t="s">
        <v>23</v>
      </c>
      <c r="B229" t="s">
        <v>822</v>
      </c>
      <c r="C229" t="s">
        <v>89</v>
      </c>
      <c r="D229" s="1">
        <v>45761</v>
      </c>
      <c r="E229" t="s">
        <v>840</v>
      </c>
      <c r="F229" t="s">
        <v>841</v>
      </c>
      <c r="G229" t="s">
        <v>42</v>
      </c>
      <c r="H229" t="s">
        <v>69</v>
      </c>
      <c r="I229" t="s">
        <v>842</v>
      </c>
      <c r="J229" t="s">
        <v>316</v>
      </c>
      <c r="K229" t="s">
        <v>843</v>
      </c>
      <c r="L229">
        <v>958201371</v>
      </c>
      <c r="M229" t="s">
        <v>56</v>
      </c>
      <c r="N229" t="s">
        <v>536</v>
      </c>
      <c r="O229" t="s">
        <v>58</v>
      </c>
      <c r="P229" t="s">
        <v>66</v>
      </c>
      <c r="Q229">
        <v>257031403</v>
      </c>
      <c r="R229" t="s">
        <v>37</v>
      </c>
      <c r="S229" t="s">
        <v>537</v>
      </c>
      <c r="T229" t="s">
        <v>39</v>
      </c>
      <c r="U229" s="1">
        <v>45961</v>
      </c>
      <c r="W229" s="5">
        <f ca="1">+(TODAY()-Tabla2[[#This Row],[FECHA DE NACIMIENTO]])/360</f>
        <v>128.05833333333334</v>
      </c>
    </row>
    <row r="230" spans="1:23" x14ac:dyDescent="0.45">
      <c r="A230" t="s">
        <v>23</v>
      </c>
      <c r="B230" t="s">
        <v>388</v>
      </c>
      <c r="C230" t="s">
        <v>89</v>
      </c>
      <c r="D230" s="1">
        <v>45761</v>
      </c>
      <c r="E230" t="s">
        <v>844</v>
      </c>
      <c r="F230" t="s">
        <v>845</v>
      </c>
      <c r="G230" t="s">
        <v>42</v>
      </c>
      <c r="H230" t="s">
        <v>69</v>
      </c>
      <c r="I230" t="s">
        <v>846</v>
      </c>
      <c r="J230" t="s">
        <v>834</v>
      </c>
      <c r="K230" t="s">
        <v>847</v>
      </c>
      <c r="L230">
        <v>953440672</v>
      </c>
      <c r="M230" t="s">
        <v>33</v>
      </c>
      <c r="N230" t="s">
        <v>34</v>
      </c>
      <c r="O230" t="s">
        <v>58</v>
      </c>
      <c r="P230" t="s">
        <v>66</v>
      </c>
      <c r="Q230">
        <v>18724330</v>
      </c>
      <c r="R230" t="s">
        <v>37</v>
      </c>
      <c r="S230" t="s">
        <v>537</v>
      </c>
      <c r="T230" t="s">
        <v>39</v>
      </c>
      <c r="W230" s="5">
        <f ca="1">+(TODAY()-Tabla2[[#This Row],[FECHA DE NACIMIENTO]])/360</f>
        <v>128.05833333333334</v>
      </c>
    </row>
    <row r="231" spans="1:23" x14ac:dyDescent="0.45">
      <c r="A231" t="s">
        <v>23</v>
      </c>
      <c r="B231" t="s">
        <v>171</v>
      </c>
      <c r="C231" t="s">
        <v>89</v>
      </c>
      <c r="D231" s="1">
        <v>45775</v>
      </c>
      <c r="E231" t="s">
        <v>848</v>
      </c>
      <c r="F231" t="s">
        <v>849</v>
      </c>
      <c r="G231" t="s">
        <v>42</v>
      </c>
      <c r="H231" t="s">
        <v>850</v>
      </c>
      <c r="I231" t="s">
        <v>851</v>
      </c>
      <c r="J231" t="s">
        <v>852</v>
      </c>
      <c r="K231" t="s">
        <v>853</v>
      </c>
      <c r="L231">
        <v>928398317</v>
      </c>
      <c r="M231" t="s">
        <v>33</v>
      </c>
      <c r="N231" t="s">
        <v>34</v>
      </c>
      <c r="O231" t="s">
        <v>58</v>
      </c>
      <c r="P231" t="s">
        <v>48</v>
      </c>
      <c r="Q231">
        <v>13324310</v>
      </c>
      <c r="R231" t="s">
        <v>37</v>
      </c>
      <c r="S231" t="s">
        <v>38</v>
      </c>
      <c r="T231" t="s">
        <v>39</v>
      </c>
      <c r="U231" s="1">
        <v>45961</v>
      </c>
      <c r="W231" s="5">
        <f ca="1">+(TODAY()-Tabla2[[#This Row],[FECHA DE NACIMIENTO]])/360</f>
        <v>128.05833333333334</v>
      </c>
    </row>
    <row r="232" spans="1:23" x14ac:dyDescent="0.45">
      <c r="A232" t="s">
        <v>23</v>
      </c>
      <c r="B232" t="s">
        <v>125</v>
      </c>
      <c r="C232" t="s">
        <v>89</v>
      </c>
      <c r="D232" s="1">
        <v>45775</v>
      </c>
      <c r="E232" t="s">
        <v>854</v>
      </c>
      <c r="F232" t="s">
        <v>855</v>
      </c>
      <c r="G232" t="s">
        <v>42</v>
      </c>
      <c r="H232" t="s">
        <v>856</v>
      </c>
      <c r="I232" t="s">
        <v>857</v>
      </c>
      <c r="J232" t="s">
        <v>643</v>
      </c>
      <c r="K232" t="s">
        <v>858</v>
      </c>
      <c r="L232">
        <v>953443377</v>
      </c>
      <c r="M232" t="s">
        <v>33</v>
      </c>
      <c r="N232" t="s">
        <v>34</v>
      </c>
      <c r="O232" t="s">
        <v>35</v>
      </c>
      <c r="P232" t="s">
        <v>96</v>
      </c>
      <c r="Q232">
        <v>27626709</v>
      </c>
      <c r="R232" t="s">
        <v>37</v>
      </c>
      <c r="S232" t="s">
        <v>537</v>
      </c>
      <c r="T232" t="s">
        <v>39</v>
      </c>
      <c r="U232" s="1">
        <v>45991</v>
      </c>
      <c r="W232" s="5">
        <f ca="1">+(TODAY()-Tabla2[[#This Row],[FECHA DE NACIMIENTO]])/360</f>
        <v>128.05833333333334</v>
      </c>
    </row>
    <row r="233" spans="1:23" x14ac:dyDescent="0.45">
      <c r="A233" t="s">
        <v>23</v>
      </c>
      <c r="B233" t="s">
        <v>125</v>
      </c>
      <c r="C233" t="s">
        <v>89</v>
      </c>
      <c r="D233" s="1">
        <v>45777</v>
      </c>
      <c r="E233" t="s">
        <v>859</v>
      </c>
      <c r="F233" t="s">
        <v>860</v>
      </c>
      <c r="G233" t="s">
        <v>42</v>
      </c>
      <c r="H233" t="s">
        <v>861</v>
      </c>
      <c r="I233" t="s">
        <v>862</v>
      </c>
      <c r="J233" t="s">
        <v>158</v>
      </c>
      <c r="K233" t="s">
        <v>863</v>
      </c>
      <c r="L233">
        <v>966794247</v>
      </c>
      <c r="M233" t="s">
        <v>33</v>
      </c>
      <c r="N233" t="s">
        <v>536</v>
      </c>
      <c r="O233" t="s">
        <v>58</v>
      </c>
      <c r="P233" t="s">
        <v>66</v>
      </c>
      <c r="Q233">
        <v>14750432</v>
      </c>
      <c r="R233" t="s">
        <v>37</v>
      </c>
      <c r="S233" t="s">
        <v>38</v>
      </c>
      <c r="T233" t="s">
        <v>89</v>
      </c>
      <c r="U233" s="1">
        <v>45838</v>
      </c>
      <c r="W233" s="5">
        <f ca="1">+(TODAY()-Tabla2[[#This Row],[FECHA DE NACIMIENTO]])/360</f>
        <v>128.05833333333334</v>
      </c>
    </row>
    <row r="234" spans="1:23" x14ac:dyDescent="0.45">
      <c r="A234" t="s">
        <v>23</v>
      </c>
      <c r="B234" t="s">
        <v>125</v>
      </c>
      <c r="C234" t="s">
        <v>89</v>
      </c>
      <c r="D234" s="1">
        <v>45777</v>
      </c>
      <c r="E234" t="s">
        <v>864</v>
      </c>
      <c r="F234" t="s">
        <v>865</v>
      </c>
      <c r="G234" t="s">
        <v>28</v>
      </c>
      <c r="H234" t="s">
        <v>861</v>
      </c>
      <c r="I234" t="s">
        <v>866</v>
      </c>
      <c r="J234" t="s">
        <v>643</v>
      </c>
      <c r="K234" t="s">
        <v>867</v>
      </c>
      <c r="L234">
        <v>973480541</v>
      </c>
      <c r="M234" t="s">
        <v>33</v>
      </c>
      <c r="N234" t="s">
        <v>34</v>
      </c>
      <c r="O234" t="s">
        <v>58</v>
      </c>
      <c r="P234" t="s">
        <v>36</v>
      </c>
      <c r="Q234">
        <v>5621913437</v>
      </c>
      <c r="R234" t="s">
        <v>37</v>
      </c>
      <c r="S234" t="s">
        <v>537</v>
      </c>
      <c r="T234" t="s">
        <v>39</v>
      </c>
      <c r="U234" s="1">
        <v>45808</v>
      </c>
      <c r="W234" s="5">
        <f ca="1">+(TODAY()-Tabla2[[#This Row],[FECHA DE NACIMIENTO]])/360</f>
        <v>128.05833333333334</v>
      </c>
    </row>
    <row r="235" spans="1:23" x14ac:dyDescent="0.45">
      <c r="A235" t="s">
        <v>23</v>
      </c>
      <c r="B235" t="s">
        <v>125</v>
      </c>
      <c r="C235" t="s">
        <v>89</v>
      </c>
      <c r="D235" s="1">
        <v>45777</v>
      </c>
      <c r="E235" t="s">
        <v>868</v>
      </c>
      <c r="F235" t="s">
        <v>869</v>
      </c>
      <c r="G235" t="s">
        <v>42</v>
      </c>
      <c r="H235" t="s">
        <v>870</v>
      </c>
      <c r="I235" t="s">
        <v>871</v>
      </c>
      <c r="J235" t="s">
        <v>241</v>
      </c>
      <c r="K235" t="s">
        <v>872</v>
      </c>
      <c r="L235">
        <v>962636770</v>
      </c>
      <c r="M235" t="s">
        <v>33</v>
      </c>
      <c r="N235" t="s">
        <v>34</v>
      </c>
      <c r="O235" t="s">
        <v>58</v>
      </c>
      <c r="P235" t="s">
        <v>492</v>
      </c>
      <c r="Q235">
        <v>111121674554</v>
      </c>
      <c r="R235" t="s">
        <v>37</v>
      </c>
      <c r="S235" t="s">
        <v>537</v>
      </c>
      <c r="T235" t="s">
        <v>39</v>
      </c>
      <c r="U235" s="1">
        <v>45808</v>
      </c>
      <c r="W235" s="5">
        <f ca="1">+(TODAY()-Tabla2[[#This Row],[FECHA DE NACIMIENTO]])/360</f>
        <v>128.05833333333334</v>
      </c>
    </row>
    <row r="236" spans="1:23" x14ac:dyDescent="0.45">
      <c r="A236" t="s">
        <v>23</v>
      </c>
      <c r="B236" t="s">
        <v>125</v>
      </c>
      <c r="C236" t="s">
        <v>89</v>
      </c>
      <c r="D236" s="1">
        <v>45777</v>
      </c>
      <c r="E236" t="s">
        <v>873</v>
      </c>
      <c r="F236" t="s">
        <v>874</v>
      </c>
      <c r="G236" t="s">
        <v>28</v>
      </c>
      <c r="H236" t="s">
        <v>327</v>
      </c>
      <c r="I236" t="s">
        <v>875</v>
      </c>
      <c r="J236" t="s">
        <v>94</v>
      </c>
      <c r="K236" t="s">
        <v>876</v>
      </c>
      <c r="L236">
        <v>947865477</v>
      </c>
      <c r="M236" t="s">
        <v>33</v>
      </c>
      <c r="N236" t="s">
        <v>34</v>
      </c>
      <c r="O236" t="s">
        <v>58</v>
      </c>
      <c r="P236" t="s">
        <v>877</v>
      </c>
      <c r="Q236">
        <v>240280871</v>
      </c>
      <c r="R236" t="s">
        <v>37</v>
      </c>
      <c r="S236" t="s">
        <v>537</v>
      </c>
      <c r="T236" t="s">
        <v>39</v>
      </c>
      <c r="U236" s="1">
        <v>45808</v>
      </c>
      <c r="W236" s="5">
        <f ca="1">+(TODAY()-Tabla2[[#This Row],[FECHA DE NACIMIENTO]])/360</f>
        <v>128.05833333333334</v>
      </c>
    </row>
    <row r="237" spans="1:23" x14ac:dyDescent="0.45">
      <c r="A237" t="s">
        <v>23</v>
      </c>
      <c r="B237" t="s">
        <v>125</v>
      </c>
      <c r="C237" t="s">
        <v>89</v>
      </c>
      <c r="D237" s="1">
        <v>45777</v>
      </c>
      <c r="E237" t="s">
        <v>878</v>
      </c>
      <c r="F237" t="s">
        <v>879</v>
      </c>
      <c r="G237" t="s">
        <v>42</v>
      </c>
      <c r="H237" t="s">
        <v>880</v>
      </c>
      <c r="I237" t="s">
        <v>881</v>
      </c>
      <c r="J237" t="s">
        <v>316</v>
      </c>
      <c r="K237" t="s">
        <v>882</v>
      </c>
      <c r="L237">
        <v>940753638</v>
      </c>
      <c r="M237" t="s">
        <v>33</v>
      </c>
      <c r="N237" t="s">
        <v>34</v>
      </c>
      <c r="O237" t="s">
        <v>58</v>
      </c>
      <c r="P237" t="s">
        <v>66</v>
      </c>
      <c r="Q237">
        <v>18626834</v>
      </c>
      <c r="R237" t="s">
        <v>37</v>
      </c>
      <c r="S237" t="s">
        <v>537</v>
      </c>
      <c r="T237" t="s">
        <v>39</v>
      </c>
      <c r="U237" s="1">
        <v>45838</v>
      </c>
      <c r="W237" s="5">
        <f ca="1">+(TODAY()-Tabla2[[#This Row],[FECHA DE NACIMIENTO]])/360</f>
        <v>128.05833333333334</v>
      </c>
    </row>
    <row r="238" spans="1:23" x14ac:dyDescent="0.45">
      <c r="A238" t="s">
        <v>23</v>
      </c>
      <c r="B238" t="s">
        <v>125</v>
      </c>
      <c r="C238" t="s">
        <v>89</v>
      </c>
      <c r="D238" s="1">
        <v>45777</v>
      </c>
      <c r="E238" t="s">
        <v>883</v>
      </c>
      <c r="F238" t="s">
        <v>884</v>
      </c>
      <c r="G238" t="s">
        <v>42</v>
      </c>
      <c r="H238" t="s">
        <v>885</v>
      </c>
      <c r="I238" t="s">
        <v>886</v>
      </c>
      <c r="J238" t="s">
        <v>643</v>
      </c>
      <c r="K238" t="s">
        <v>887</v>
      </c>
      <c r="L238">
        <v>956212613</v>
      </c>
      <c r="M238" t="s">
        <v>33</v>
      </c>
      <c r="N238" t="s">
        <v>34</v>
      </c>
      <c r="O238" t="s">
        <v>58</v>
      </c>
      <c r="P238" t="s">
        <v>66</v>
      </c>
      <c r="Q238">
        <v>154166947</v>
      </c>
      <c r="R238" t="s">
        <v>37</v>
      </c>
      <c r="S238" t="s">
        <v>537</v>
      </c>
      <c r="T238" t="s">
        <v>39</v>
      </c>
      <c r="U238" s="1">
        <v>45808</v>
      </c>
      <c r="W238" s="5">
        <f ca="1">+(TODAY()-Tabla2[[#This Row],[FECHA DE NACIMIENTO]])/360</f>
        <v>128.05833333333334</v>
      </c>
    </row>
    <row r="239" spans="1:23" x14ac:dyDescent="0.45">
      <c r="A239" t="s">
        <v>23</v>
      </c>
      <c r="B239" t="s">
        <v>24</v>
      </c>
      <c r="C239" t="s">
        <v>25</v>
      </c>
      <c r="D239" s="1">
        <v>45782</v>
      </c>
      <c r="E239" t="s">
        <v>888</v>
      </c>
      <c r="F239" t="s">
        <v>889</v>
      </c>
      <c r="G239" t="s">
        <v>42</v>
      </c>
      <c r="H239" t="s">
        <v>890</v>
      </c>
      <c r="I239" t="s">
        <v>891</v>
      </c>
      <c r="J239" t="s">
        <v>699</v>
      </c>
      <c r="K239" t="s">
        <v>892</v>
      </c>
      <c r="L239">
        <v>946621055</v>
      </c>
      <c r="M239" t="s">
        <v>33</v>
      </c>
      <c r="N239" t="s">
        <v>34</v>
      </c>
      <c r="O239" t="s">
        <v>35</v>
      </c>
      <c r="P239" t="s">
        <v>96</v>
      </c>
      <c r="Q239">
        <v>46358595</v>
      </c>
      <c r="R239" t="s">
        <v>37</v>
      </c>
      <c r="S239" t="s">
        <v>38</v>
      </c>
      <c r="T239" t="s">
        <v>39</v>
      </c>
      <c r="U239" s="1">
        <v>45991</v>
      </c>
      <c r="W239" s="5">
        <f ca="1">+(TODAY()-Tabla2[[#This Row],[FECHA DE NACIMIENTO]])/360</f>
        <v>128.05833333333334</v>
      </c>
    </row>
    <row r="240" spans="1:23" x14ac:dyDescent="0.45">
      <c r="A240" t="s">
        <v>23</v>
      </c>
      <c r="B240" t="s">
        <v>131</v>
      </c>
      <c r="C240" t="s">
        <v>89</v>
      </c>
      <c r="D240" s="1">
        <v>45786</v>
      </c>
      <c r="E240" t="s">
        <v>893</v>
      </c>
      <c r="F240" t="s">
        <v>894</v>
      </c>
      <c r="G240" t="s">
        <v>42</v>
      </c>
      <c r="H240" t="s">
        <v>69</v>
      </c>
      <c r="I240" t="s">
        <v>895</v>
      </c>
      <c r="J240" t="s">
        <v>158</v>
      </c>
      <c r="K240" t="s">
        <v>896</v>
      </c>
      <c r="L240">
        <v>950825025</v>
      </c>
      <c r="M240" t="s">
        <v>33</v>
      </c>
      <c r="N240" t="s">
        <v>34</v>
      </c>
      <c r="O240" t="s">
        <v>35</v>
      </c>
      <c r="P240" t="s">
        <v>48</v>
      </c>
      <c r="Q240">
        <v>4467435500</v>
      </c>
      <c r="R240" t="s">
        <v>37</v>
      </c>
      <c r="S240" t="s">
        <v>137</v>
      </c>
      <c r="T240" t="s">
        <v>39</v>
      </c>
      <c r="W240" s="5">
        <f ca="1">+(TODAY()-Tabla2[[#This Row],[FECHA DE NACIMIENTO]])/360</f>
        <v>128.05833333333334</v>
      </c>
    </row>
    <row r="241" spans="1:23" x14ac:dyDescent="0.45">
      <c r="A241" t="s">
        <v>23</v>
      </c>
      <c r="B241" t="s">
        <v>812</v>
      </c>
      <c r="C241" t="s">
        <v>89</v>
      </c>
      <c r="D241" s="1">
        <v>45790</v>
      </c>
      <c r="E241" t="s">
        <v>897</v>
      </c>
      <c r="F241" t="s">
        <v>898</v>
      </c>
      <c r="G241" t="s">
        <v>28</v>
      </c>
      <c r="H241" t="s">
        <v>69</v>
      </c>
      <c r="I241" t="s">
        <v>899</v>
      </c>
      <c r="J241" t="s">
        <v>94</v>
      </c>
      <c r="K241" t="s">
        <v>900</v>
      </c>
      <c r="L241">
        <v>923851903</v>
      </c>
      <c r="M241" t="s">
        <v>33</v>
      </c>
      <c r="N241" t="s">
        <v>34</v>
      </c>
      <c r="O241" t="s">
        <v>58</v>
      </c>
      <c r="P241" t="s">
        <v>66</v>
      </c>
      <c r="Q241">
        <v>16071154</v>
      </c>
      <c r="R241" t="s">
        <v>37</v>
      </c>
      <c r="S241" t="s">
        <v>38</v>
      </c>
      <c r="T241" t="s">
        <v>39</v>
      </c>
      <c r="U241" s="1">
        <v>45961</v>
      </c>
      <c r="W241" s="5">
        <f ca="1">+(TODAY()-Tabla2[[#This Row],[FECHA DE NACIMIENTO]])/360</f>
        <v>128.05833333333334</v>
      </c>
    </row>
    <row r="242" spans="1:23" x14ac:dyDescent="0.45">
      <c r="A242" t="s">
        <v>23</v>
      </c>
      <c r="B242" t="s">
        <v>822</v>
      </c>
      <c r="C242" t="s">
        <v>89</v>
      </c>
      <c r="D242" s="1">
        <v>45803</v>
      </c>
      <c r="E242" t="s">
        <v>901</v>
      </c>
      <c r="F242" t="s">
        <v>902</v>
      </c>
      <c r="G242" t="s">
        <v>42</v>
      </c>
      <c r="H242" t="s">
        <v>903</v>
      </c>
      <c r="I242" t="s">
        <v>904</v>
      </c>
      <c r="J242" t="s">
        <v>699</v>
      </c>
      <c r="K242" t="s">
        <v>905</v>
      </c>
      <c r="L242">
        <v>952233867</v>
      </c>
      <c r="M242" t="s">
        <v>33</v>
      </c>
      <c r="N242" t="s">
        <v>57</v>
      </c>
      <c r="O242" t="s">
        <v>35</v>
      </c>
      <c r="P242" t="s">
        <v>82</v>
      </c>
      <c r="Q242">
        <v>15660124411</v>
      </c>
      <c r="R242" t="s">
        <v>37</v>
      </c>
      <c r="S242" t="s">
        <v>537</v>
      </c>
      <c r="T242" t="s">
        <v>39</v>
      </c>
      <c r="U242" s="1">
        <v>45961</v>
      </c>
      <c r="W242" s="5">
        <f ca="1">+(TODAY()-Tabla2[[#This Row],[FECHA DE NACIMIENTO]])/360</f>
        <v>128.05833333333334</v>
      </c>
    </row>
    <row r="243" spans="1:23" x14ac:dyDescent="0.45">
      <c r="A243" t="s">
        <v>23</v>
      </c>
      <c r="B243" t="s">
        <v>125</v>
      </c>
      <c r="C243" t="s">
        <v>89</v>
      </c>
      <c r="D243" s="1">
        <v>45803</v>
      </c>
      <c r="E243" t="s">
        <v>906</v>
      </c>
      <c r="F243" t="s">
        <v>907</v>
      </c>
      <c r="G243" t="s">
        <v>42</v>
      </c>
      <c r="H243" t="s">
        <v>908</v>
      </c>
      <c r="I243" t="s">
        <v>909</v>
      </c>
      <c r="J243" t="s">
        <v>54</v>
      </c>
      <c r="K243" t="s">
        <v>910</v>
      </c>
      <c r="L243">
        <v>981868671</v>
      </c>
      <c r="M243" t="s">
        <v>33</v>
      </c>
      <c r="N243" t="s">
        <v>57</v>
      </c>
      <c r="O243" t="s">
        <v>58</v>
      </c>
      <c r="P243" t="s">
        <v>66</v>
      </c>
      <c r="Q243">
        <v>26004134</v>
      </c>
      <c r="R243" t="s">
        <v>37</v>
      </c>
      <c r="S243" t="s">
        <v>137</v>
      </c>
      <c r="T243" t="s">
        <v>74</v>
      </c>
      <c r="U243" s="1">
        <v>45900</v>
      </c>
      <c r="W243" s="5">
        <f ca="1">+(TODAY()-Tabla2[[#This Row],[FECHA DE NACIMIENTO]])/360</f>
        <v>128.05833333333334</v>
      </c>
    </row>
    <row r="244" spans="1:23" x14ac:dyDescent="0.45">
      <c r="A244" t="s">
        <v>23</v>
      </c>
      <c r="B244" t="s">
        <v>171</v>
      </c>
      <c r="C244" t="s">
        <v>89</v>
      </c>
      <c r="D244" s="1">
        <v>45803</v>
      </c>
      <c r="E244" t="s">
        <v>911</v>
      </c>
      <c r="F244" t="s">
        <v>912</v>
      </c>
      <c r="G244" t="s">
        <v>28</v>
      </c>
      <c r="H244" t="s">
        <v>913</v>
      </c>
      <c r="I244" t="s">
        <v>914</v>
      </c>
      <c r="J244" t="s">
        <v>915</v>
      </c>
      <c r="K244" t="s">
        <v>916</v>
      </c>
      <c r="L244">
        <v>956881892</v>
      </c>
      <c r="M244" t="s">
        <v>33</v>
      </c>
      <c r="N244" t="s">
        <v>34</v>
      </c>
      <c r="O244" t="s">
        <v>58</v>
      </c>
      <c r="P244" t="s">
        <v>48</v>
      </c>
      <c r="Q244">
        <v>203923110</v>
      </c>
      <c r="R244" t="s">
        <v>37</v>
      </c>
      <c r="S244" t="s">
        <v>38</v>
      </c>
      <c r="T244" t="s">
        <v>39</v>
      </c>
      <c r="U244" s="1">
        <v>45838</v>
      </c>
      <c r="W244" s="5">
        <f ca="1">+(TODAY()-Tabla2[[#This Row],[FECHA DE NACIMIENTO]])/360</f>
        <v>128.05833333333334</v>
      </c>
    </row>
    <row r="245" spans="1:23" x14ac:dyDescent="0.45">
      <c r="A245" t="s">
        <v>23</v>
      </c>
      <c r="B245" t="s">
        <v>632</v>
      </c>
      <c r="C245" t="s">
        <v>633</v>
      </c>
      <c r="D245" s="1">
        <v>45803</v>
      </c>
      <c r="E245" t="s">
        <v>917</v>
      </c>
      <c r="F245" t="s">
        <v>918</v>
      </c>
      <c r="G245" t="s">
        <v>28</v>
      </c>
      <c r="H245" t="s">
        <v>919</v>
      </c>
      <c r="I245" t="s">
        <v>920</v>
      </c>
      <c r="J245" t="s">
        <v>158</v>
      </c>
      <c r="K245" t="s">
        <v>921</v>
      </c>
      <c r="L245">
        <v>944103165</v>
      </c>
      <c r="M245" t="s">
        <v>33</v>
      </c>
      <c r="N245" t="s">
        <v>34</v>
      </c>
      <c r="O245" t="s">
        <v>58</v>
      </c>
      <c r="P245" t="s">
        <v>48</v>
      </c>
      <c r="Q245">
        <v>312824169</v>
      </c>
      <c r="R245" t="s">
        <v>37</v>
      </c>
      <c r="S245" t="s">
        <v>137</v>
      </c>
      <c r="T245" t="s">
        <v>74</v>
      </c>
      <c r="U245" s="1">
        <v>45838</v>
      </c>
      <c r="W245" s="5">
        <f ca="1">+(TODAY()-Tabla2[[#This Row],[FECHA DE NACIMIENTO]])/360</f>
        <v>128.05833333333334</v>
      </c>
    </row>
    <row r="246" spans="1:23" x14ac:dyDescent="0.45">
      <c r="A246" t="s">
        <v>23</v>
      </c>
      <c r="B246" t="s">
        <v>131</v>
      </c>
      <c r="C246" t="s">
        <v>89</v>
      </c>
      <c r="D246" s="1">
        <v>45803</v>
      </c>
      <c r="E246" t="s">
        <v>922</v>
      </c>
      <c r="F246" t="s">
        <v>923</v>
      </c>
      <c r="G246" t="s">
        <v>42</v>
      </c>
      <c r="H246" t="s">
        <v>924</v>
      </c>
      <c r="I246" t="s">
        <v>925</v>
      </c>
      <c r="J246" t="s">
        <v>820</v>
      </c>
      <c r="K246" t="s">
        <v>926</v>
      </c>
      <c r="L246">
        <v>949639562</v>
      </c>
      <c r="M246" t="s">
        <v>683</v>
      </c>
      <c r="N246" t="s">
        <v>34</v>
      </c>
      <c r="O246" t="s">
        <v>58</v>
      </c>
      <c r="P246" t="s">
        <v>48</v>
      </c>
      <c r="Q246">
        <v>119922165</v>
      </c>
      <c r="R246" t="s">
        <v>37</v>
      </c>
      <c r="S246" t="s">
        <v>123</v>
      </c>
      <c r="T246" t="s">
        <v>124</v>
      </c>
      <c r="U246" s="1">
        <v>45900</v>
      </c>
      <c r="W246" s="5">
        <f ca="1">+(TODAY()-Tabla2[[#This Row],[FECHA DE NACIMIENTO]])/360</f>
        <v>128.05833333333334</v>
      </c>
    </row>
    <row r="247" spans="1:23" x14ac:dyDescent="0.45">
      <c r="A247" t="s">
        <v>23</v>
      </c>
      <c r="B247" t="s">
        <v>171</v>
      </c>
      <c r="C247" t="s">
        <v>89</v>
      </c>
      <c r="D247" s="1">
        <v>45803</v>
      </c>
      <c r="E247" t="s">
        <v>927</v>
      </c>
      <c r="F247" t="s">
        <v>928</v>
      </c>
      <c r="G247" t="s">
        <v>42</v>
      </c>
      <c r="H247" t="s">
        <v>929</v>
      </c>
      <c r="I247" t="s">
        <v>930</v>
      </c>
      <c r="J247" t="s">
        <v>165</v>
      </c>
      <c r="K247" t="s">
        <v>931</v>
      </c>
      <c r="L247">
        <v>927781512</v>
      </c>
      <c r="M247" t="s">
        <v>932</v>
      </c>
      <c r="N247" t="s">
        <v>596</v>
      </c>
      <c r="O247" t="s">
        <v>35</v>
      </c>
      <c r="P247" t="s">
        <v>82</v>
      </c>
      <c r="R247" t="s">
        <v>37</v>
      </c>
      <c r="S247" t="s">
        <v>38</v>
      </c>
      <c r="T247" t="s">
        <v>39</v>
      </c>
      <c r="U247" s="1">
        <v>45838</v>
      </c>
      <c r="W247" s="5">
        <f ca="1">+(TODAY()-Tabla2[[#This Row],[FECHA DE NACIMIENTO]])/360</f>
        <v>128.05833333333334</v>
      </c>
    </row>
    <row r="248" spans="1:23" x14ac:dyDescent="0.45">
      <c r="A248" t="s">
        <v>23</v>
      </c>
      <c r="B248" t="s">
        <v>632</v>
      </c>
      <c r="C248" t="s">
        <v>633</v>
      </c>
      <c r="D248" s="1">
        <v>45803</v>
      </c>
      <c r="E248" t="s">
        <v>933</v>
      </c>
      <c r="F248" t="s">
        <v>934</v>
      </c>
      <c r="G248" t="s">
        <v>42</v>
      </c>
      <c r="H248" t="s">
        <v>935</v>
      </c>
      <c r="I248" t="s">
        <v>936</v>
      </c>
      <c r="J248" t="s">
        <v>393</v>
      </c>
      <c r="K248" t="s">
        <v>937</v>
      </c>
      <c r="L248">
        <v>950485956</v>
      </c>
      <c r="M248" t="s">
        <v>33</v>
      </c>
      <c r="N248" t="s">
        <v>57</v>
      </c>
      <c r="O248" t="s">
        <v>58</v>
      </c>
      <c r="P248" t="s">
        <v>66</v>
      </c>
      <c r="Q248">
        <v>27158608</v>
      </c>
      <c r="R248" t="s">
        <v>37</v>
      </c>
      <c r="S248" t="s">
        <v>38</v>
      </c>
      <c r="T248" t="s">
        <v>39</v>
      </c>
      <c r="U248" s="1">
        <v>45991</v>
      </c>
      <c r="W248" s="5">
        <f ca="1">+(TODAY()-Tabla2[[#This Row],[FECHA DE NACIMIENTO]])/360</f>
        <v>128.05833333333334</v>
      </c>
    </row>
    <row r="249" spans="1:23" x14ac:dyDescent="0.45">
      <c r="A249" t="s">
        <v>23</v>
      </c>
      <c r="B249" t="s">
        <v>632</v>
      </c>
      <c r="C249" t="s">
        <v>633</v>
      </c>
      <c r="D249" s="1">
        <v>45803</v>
      </c>
      <c r="E249" t="s">
        <v>938</v>
      </c>
      <c r="F249" t="s">
        <v>939</v>
      </c>
      <c r="G249" t="s">
        <v>28</v>
      </c>
      <c r="H249" t="s">
        <v>163</v>
      </c>
      <c r="I249" t="s">
        <v>940</v>
      </c>
      <c r="J249" t="s">
        <v>516</v>
      </c>
      <c r="K249" t="s">
        <v>941</v>
      </c>
      <c r="L249">
        <v>998862651</v>
      </c>
      <c r="M249" t="s">
        <v>33</v>
      </c>
      <c r="N249" t="s">
        <v>57</v>
      </c>
      <c r="O249" t="s">
        <v>35</v>
      </c>
      <c r="P249" t="s">
        <v>96</v>
      </c>
      <c r="Q249">
        <v>777927421822</v>
      </c>
      <c r="R249" t="s">
        <v>60</v>
      </c>
      <c r="S249" t="s">
        <v>38</v>
      </c>
      <c r="T249" t="s">
        <v>39</v>
      </c>
      <c r="W249" s="5">
        <f ca="1">+(TODAY()-Tabla2[[#This Row],[FECHA DE NACIMIENTO]])/360</f>
        <v>128.05833333333334</v>
      </c>
    </row>
    <row r="250" spans="1:23" x14ac:dyDescent="0.45">
      <c r="A250" t="s">
        <v>23</v>
      </c>
      <c r="B250" t="s">
        <v>125</v>
      </c>
      <c r="C250" t="s">
        <v>89</v>
      </c>
      <c r="D250" s="1">
        <v>45803</v>
      </c>
      <c r="E250" t="s">
        <v>942</v>
      </c>
      <c r="F250" t="s">
        <v>943</v>
      </c>
      <c r="G250" t="s">
        <v>42</v>
      </c>
      <c r="H250" t="s">
        <v>944</v>
      </c>
      <c r="I250" t="s">
        <v>945</v>
      </c>
      <c r="J250" t="s">
        <v>699</v>
      </c>
      <c r="K250" t="s">
        <v>946</v>
      </c>
      <c r="L250">
        <v>963666273</v>
      </c>
      <c r="M250" t="s">
        <v>56</v>
      </c>
      <c r="N250" t="s">
        <v>34</v>
      </c>
      <c r="O250" t="s">
        <v>58</v>
      </c>
      <c r="P250" t="s">
        <v>96</v>
      </c>
      <c r="Q250">
        <v>90809459</v>
      </c>
      <c r="R250" t="s">
        <v>37</v>
      </c>
      <c r="S250" t="s">
        <v>537</v>
      </c>
      <c r="T250" t="s">
        <v>39</v>
      </c>
      <c r="U250" s="1">
        <v>45900</v>
      </c>
      <c r="W250" s="5">
        <f ca="1">+(TODAY()-Tabla2[[#This Row],[FECHA DE NACIMIENTO]])/360</f>
        <v>128.05833333333334</v>
      </c>
    </row>
    <row r="251" spans="1:23" x14ac:dyDescent="0.45">
      <c r="A251" t="s">
        <v>23</v>
      </c>
      <c r="B251" t="s">
        <v>822</v>
      </c>
      <c r="C251" t="s">
        <v>89</v>
      </c>
      <c r="D251" s="1">
        <v>45803</v>
      </c>
      <c r="E251" t="s">
        <v>947</v>
      </c>
      <c r="F251" t="s">
        <v>948</v>
      </c>
      <c r="G251" t="s">
        <v>42</v>
      </c>
      <c r="H251" t="s">
        <v>156</v>
      </c>
      <c r="I251" t="s">
        <v>949</v>
      </c>
      <c r="J251" t="s">
        <v>699</v>
      </c>
      <c r="K251" t="s">
        <v>950</v>
      </c>
      <c r="L251">
        <v>994706325</v>
      </c>
      <c r="M251" t="s">
        <v>33</v>
      </c>
      <c r="N251" t="s">
        <v>34</v>
      </c>
      <c r="O251" t="s">
        <v>58</v>
      </c>
      <c r="P251" t="s">
        <v>66</v>
      </c>
      <c r="Q251">
        <v>19743664</v>
      </c>
      <c r="R251" t="s">
        <v>37</v>
      </c>
      <c r="S251" t="s">
        <v>537</v>
      </c>
      <c r="T251" t="s">
        <v>39</v>
      </c>
      <c r="U251" s="1">
        <v>45991</v>
      </c>
      <c r="W251" s="5">
        <f ca="1">+(TODAY()-Tabla2[[#This Row],[FECHA DE NACIMIENTO]])/360</f>
        <v>128.05833333333334</v>
      </c>
    </row>
    <row r="252" spans="1:23" x14ac:dyDescent="0.45">
      <c r="A252" t="s">
        <v>23</v>
      </c>
      <c r="B252" t="s">
        <v>822</v>
      </c>
      <c r="C252" t="s">
        <v>89</v>
      </c>
      <c r="D252" s="1">
        <v>45803</v>
      </c>
      <c r="E252" t="s">
        <v>951</v>
      </c>
      <c r="F252" t="s">
        <v>952</v>
      </c>
      <c r="G252" t="s">
        <v>42</v>
      </c>
      <c r="H252" t="s">
        <v>156</v>
      </c>
      <c r="I252" t="s">
        <v>953</v>
      </c>
      <c r="J252" t="s">
        <v>699</v>
      </c>
      <c r="K252" t="s">
        <v>954</v>
      </c>
      <c r="L252">
        <v>953175764</v>
      </c>
      <c r="M252" t="s">
        <v>33</v>
      </c>
      <c r="N252" t="s">
        <v>34</v>
      </c>
      <c r="O252" t="s">
        <v>35</v>
      </c>
      <c r="P252" t="s">
        <v>36</v>
      </c>
      <c r="Q252">
        <v>77122290</v>
      </c>
      <c r="R252" t="s">
        <v>37</v>
      </c>
      <c r="S252" t="s">
        <v>537</v>
      </c>
      <c r="T252" t="s">
        <v>39</v>
      </c>
      <c r="U252" s="1">
        <v>45838</v>
      </c>
      <c r="W252" s="5">
        <f ca="1">+(TODAY()-Tabla2[[#This Row],[FECHA DE NACIMIENTO]])/360</f>
        <v>128.05833333333334</v>
      </c>
    </row>
    <row r="253" spans="1:23" x14ac:dyDescent="0.45">
      <c r="A253" t="s">
        <v>23</v>
      </c>
      <c r="B253" t="s">
        <v>822</v>
      </c>
      <c r="C253" t="s">
        <v>89</v>
      </c>
      <c r="D253" s="1">
        <v>45803</v>
      </c>
      <c r="E253" t="s">
        <v>955</v>
      </c>
      <c r="F253" t="s">
        <v>956</v>
      </c>
      <c r="G253" t="s">
        <v>28</v>
      </c>
      <c r="H253" t="s">
        <v>957</v>
      </c>
      <c r="I253" t="s">
        <v>958</v>
      </c>
      <c r="J253" t="s">
        <v>192</v>
      </c>
      <c r="K253" t="s">
        <v>959</v>
      </c>
      <c r="L253">
        <v>953156858</v>
      </c>
      <c r="M253" t="s">
        <v>81</v>
      </c>
      <c r="N253" t="s">
        <v>34</v>
      </c>
      <c r="O253" t="s">
        <v>35</v>
      </c>
      <c r="P253" t="s">
        <v>36</v>
      </c>
      <c r="Q253">
        <v>82413030</v>
      </c>
      <c r="R253" t="s">
        <v>37</v>
      </c>
      <c r="S253" t="s">
        <v>137</v>
      </c>
      <c r="T253" t="s">
        <v>74</v>
      </c>
      <c r="U253" s="1">
        <v>45961</v>
      </c>
      <c r="W253" s="5">
        <f ca="1">+(TODAY()-Tabla2[[#This Row],[FECHA DE NACIMIENTO]])/360</f>
        <v>128.05833333333334</v>
      </c>
    </row>
    <row r="254" spans="1:23" x14ac:dyDescent="0.45">
      <c r="A254" t="s">
        <v>23</v>
      </c>
      <c r="B254" t="s">
        <v>822</v>
      </c>
      <c r="C254" t="s">
        <v>89</v>
      </c>
      <c r="D254" s="1">
        <v>45803</v>
      </c>
      <c r="E254" t="s">
        <v>960</v>
      </c>
      <c r="F254" t="s">
        <v>961</v>
      </c>
      <c r="G254" t="s">
        <v>42</v>
      </c>
      <c r="H254" t="s">
        <v>962</v>
      </c>
      <c r="I254" t="s">
        <v>963</v>
      </c>
      <c r="J254" t="s">
        <v>699</v>
      </c>
      <c r="K254" t="s">
        <v>964</v>
      </c>
      <c r="L254">
        <v>991507312</v>
      </c>
      <c r="M254" t="s">
        <v>81</v>
      </c>
      <c r="N254" t="s">
        <v>34</v>
      </c>
      <c r="O254" t="s">
        <v>35</v>
      </c>
      <c r="P254" t="s">
        <v>82</v>
      </c>
      <c r="Q254">
        <v>15870022926</v>
      </c>
      <c r="R254" t="s">
        <v>37</v>
      </c>
      <c r="S254" t="s">
        <v>537</v>
      </c>
      <c r="T254" t="s">
        <v>39</v>
      </c>
      <c r="U254" s="1">
        <v>45838</v>
      </c>
      <c r="W254" s="5">
        <f ca="1">+(TODAY()-Tabla2[[#This Row],[FECHA DE NACIMIENTO]])/360</f>
        <v>128.05833333333334</v>
      </c>
    </row>
    <row r="255" spans="1:23" x14ac:dyDescent="0.45">
      <c r="A255" t="s">
        <v>23</v>
      </c>
      <c r="B255" t="s">
        <v>822</v>
      </c>
      <c r="C255" t="s">
        <v>89</v>
      </c>
      <c r="D255" s="1">
        <v>45803</v>
      </c>
      <c r="E255" t="s">
        <v>965</v>
      </c>
      <c r="F255" t="s">
        <v>966</v>
      </c>
      <c r="G255" t="s">
        <v>28</v>
      </c>
      <c r="H255" t="s">
        <v>967</v>
      </c>
      <c r="I255" t="s">
        <v>968</v>
      </c>
      <c r="J255" t="s">
        <v>31</v>
      </c>
      <c r="K255" t="s">
        <v>969</v>
      </c>
      <c r="L255">
        <v>978173770</v>
      </c>
      <c r="M255" t="s">
        <v>33</v>
      </c>
      <c r="N255" t="s">
        <v>34</v>
      </c>
      <c r="O255" t="s">
        <v>35</v>
      </c>
      <c r="P255" t="s">
        <v>36</v>
      </c>
      <c r="Q255">
        <v>75986750</v>
      </c>
      <c r="R255" t="s">
        <v>37</v>
      </c>
      <c r="S255" t="s">
        <v>38</v>
      </c>
      <c r="T255" t="s">
        <v>39</v>
      </c>
      <c r="U255" s="1">
        <v>45961</v>
      </c>
      <c r="W255" s="5">
        <f ca="1">+(TODAY()-Tabla2[[#This Row],[FECHA DE NACIMIENTO]])/360</f>
        <v>128.05833333333334</v>
      </c>
    </row>
    <row r="256" spans="1:23" x14ac:dyDescent="0.45">
      <c r="A256" t="s">
        <v>23</v>
      </c>
      <c r="B256" t="s">
        <v>171</v>
      </c>
      <c r="C256" t="s">
        <v>89</v>
      </c>
      <c r="D256" s="1">
        <v>45803</v>
      </c>
      <c r="E256" t="s">
        <v>970</v>
      </c>
      <c r="F256" t="s">
        <v>971</v>
      </c>
      <c r="G256" t="s">
        <v>28</v>
      </c>
      <c r="H256" t="s">
        <v>163</v>
      </c>
      <c r="I256" t="s">
        <v>972</v>
      </c>
      <c r="J256" t="s">
        <v>516</v>
      </c>
      <c r="K256" t="s">
        <v>973</v>
      </c>
      <c r="L256">
        <v>948520738</v>
      </c>
      <c r="M256" t="s">
        <v>56</v>
      </c>
      <c r="N256" t="s">
        <v>57</v>
      </c>
      <c r="O256" t="s">
        <v>35</v>
      </c>
      <c r="P256" t="s">
        <v>130</v>
      </c>
      <c r="Q256">
        <v>990775117</v>
      </c>
      <c r="R256" t="s">
        <v>37</v>
      </c>
      <c r="S256" t="s">
        <v>38</v>
      </c>
      <c r="T256" t="s">
        <v>39</v>
      </c>
      <c r="U256" s="1">
        <v>45838</v>
      </c>
      <c r="W256" s="5">
        <f ca="1">+(TODAY()-Tabla2[[#This Row],[FECHA DE NACIMIENTO]])/360</f>
        <v>128.05833333333334</v>
      </c>
    </row>
    <row r="257" spans="1:23" x14ac:dyDescent="0.45">
      <c r="A257" t="s">
        <v>23</v>
      </c>
      <c r="B257" t="s">
        <v>131</v>
      </c>
      <c r="C257" t="s">
        <v>89</v>
      </c>
      <c r="D257" s="1">
        <v>45803</v>
      </c>
      <c r="E257" t="s">
        <v>974</v>
      </c>
      <c r="F257" t="s">
        <v>975</v>
      </c>
      <c r="G257" t="s">
        <v>28</v>
      </c>
      <c r="H257" t="s">
        <v>976</v>
      </c>
      <c r="I257" t="s">
        <v>977</v>
      </c>
      <c r="J257" t="s">
        <v>142</v>
      </c>
      <c r="K257" t="s">
        <v>978</v>
      </c>
      <c r="L257">
        <v>975708973</v>
      </c>
      <c r="M257" t="s">
        <v>56</v>
      </c>
      <c r="N257" t="s">
        <v>34</v>
      </c>
      <c r="O257" t="s">
        <v>58</v>
      </c>
      <c r="P257" t="s">
        <v>66</v>
      </c>
      <c r="Q257">
        <v>10253599</v>
      </c>
      <c r="R257" t="s">
        <v>37</v>
      </c>
      <c r="S257" t="s">
        <v>38</v>
      </c>
      <c r="T257" t="s">
        <v>39</v>
      </c>
      <c r="U257" s="1">
        <v>45838</v>
      </c>
      <c r="W257" s="5">
        <f ca="1">+(TODAY()-Tabla2[[#This Row],[FECHA DE NACIMIENTO]])/360</f>
        <v>128.05833333333334</v>
      </c>
    </row>
    <row r="258" spans="1:23" x14ac:dyDescent="0.45">
      <c r="A258" t="s">
        <v>23</v>
      </c>
      <c r="B258" t="s">
        <v>171</v>
      </c>
      <c r="C258" t="s">
        <v>89</v>
      </c>
      <c r="D258" s="1">
        <v>45803</v>
      </c>
      <c r="E258" t="s">
        <v>979</v>
      </c>
      <c r="F258" t="s">
        <v>980</v>
      </c>
      <c r="G258" t="s">
        <v>28</v>
      </c>
      <c r="H258" t="s">
        <v>981</v>
      </c>
      <c r="I258" t="s">
        <v>982</v>
      </c>
      <c r="J258" t="s">
        <v>834</v>
      </c>
      <c r="K258" t="s">
        <v>983</v>
      </c>
      <c r="L258">
        <v>935979786</v>
      </c>
      <c r="M258" t="s">
        <v>33</v>
      </c>
      <c r="N258" t="s">
        <v>34</v>
      </c>
      <c r="O258" t="s">
        <v>58</v>
      </c>
      <c r="P258" t="s">
        <v>66</v>
      </c>
      <c r="Q258">
        <v>16378770</v>
      </c>
      <c r="R258" t="s">
        <v>37</v>
      </c>
      <c r="S258" t="s">
        <v>38</v>
      </c>
      <c r="T258" t="s">
        <v>39</v>
      </c>
      <c r="U258" s="1">
        <v>45838</v>
      </c>
      <c r="W258" s="5">
        <f ca="1">+(TODAY()-Tabla2[[#This Row],[FECHA DE NACIMIENTO]])/360</f>
        <v>128.05833333333334</v>
      </c>
    </row>
    <row r="259" spans="1:23" x14ac:dyDescent="0.45">
      <c r="A259" t="s">
        <v>23</v>
      </c>
      <c r="B259" t="s">
        <v>171</v>
      </c>
      <c r="C259" t="s">
        <v>89</v>
      </c>
      <c r="D259" s="1">
        <v>45803</v>
      </c>
      <c r="E259" t="s">
        <v>984</v>
      </c>
      <c r="F259" t="s">
        <v>985</v>
      </c>
      <c r="G259" t="s">
        <v>42</v>
      </c>
      <c r="H259" t="s">
        <v>327</v>
      </c>
      <c r="I259" t="s">
        <v>986</v>
      </c>
      <c r="J259" t="s">
        <v>165</v>
      </c>
      <c r="K259" t="s">
        <v>987</v>
      </c>
      <c r="L259">
        <v>939734369</v>
      </c>
      <c r="M259" t="s">
        <v>33</v>
      </c>
      <c r="N259" t="s">
        <v>988</v>
      </c>
      <c r="O259" t="s">
        <v>58</v>
      </c>
      <c r="P259" t="s">
        <v>66</v>
      </c>
      <c r="Q259">
        <v>26037812</v>
      </c>
      <c r="R259" t="s">
        <v>37</v>
      </c>
      <c r="S259" t="s">
        <v>38</v>
      </c>
      <c r="T259" t="s">
        <v>39</v>
      </c>
      <c r="U259" s="1">
        <v>45838</v>
      </c>
      <c r="W259" s="5">
        <f ca="1">+(TODAY()-Tabla2[[#This Row],[FECHA DE NACIMIENTO]])/360</f>
        <v>128.05833333333334</v>
      </c>
    </row>
    <row r="260" spans="1:23" x14ac:dyDescent="0.45">
      <c r="A260" t="s">
        <v>23</v>
      </c>
      <c r="B260" t="s">
        <v>125</v>
      </c>
      <c r="C260" t="s">
        <v>89</v>
      </c>
      <c r="D260" s="1">
        <v>45803</v>
      </c>
      <c r="E260" t="s">
        <v>989</v>
      </c>
      <c r="F260" t="s">
        <v>990</v>
      </c>
      <c r="G260" t="s">
        <v>28</v>
      </c>
      <c r="H260" t="s">
        <v>52</v>
      </c>
      <c r="I260" t="s">
        <v>991</v>
      </c>
      <c r="J260" t="s">
        <v>142</v>
      </c>
      <c r="K260" t="s">
        <v>992</v>
      </c>
      <c r="L260">
        <v>942665524</v>
      </c>
      <c r="M260" t="s">
        <v>56</v>
      </c>
      <c r="N260" t="s">
        <v>34</v>
      </c>
      <c r="O260" t="s">
        <v>58</v>
      </c>
      <c r="P260" t="s">
        <v>66</v>
      </c>
      <c r="Q260">
        <v>112701877</v>
      </c>
      <c r="R260" t="s">
        <v>37</v>
      </c>
      <c r="S260" t="s">
        <v>537</v>
      </c>
      <c r="T260" t="s">
        <v>39</v>
      </c>
      <c r="U260" s="1">
        <v>45869</v>
      </c>
      <c r="W260" s="5">
        <f ca="1">+(TODAY()-Tabla2[[#This Row],[FECHA DE NACIMIENTO]])/360</f>
        <v>128.05833333333334</v>
      </c>
    </row>
    <row r="261" spans="1:23" x14ac:dyDescent="0.45">
      <c r="A261" t="s">
        <v>23</v>
      </c>
      <c r="B261" t="s">
        <v>125</v>
      </c>
      <c r="C261" t="s">
        <v>89</v>
      </c>
      <c r="D261" s="1">
        <v>45803</v>
      </c>
      <c r="E261" t="s">
        <v>993</v>
      </c>
      <c r="F261" t="s">
        <v>994</v>
      </c>
      <c r="G261" t="s">
        <v>42</v>
      </c>
      <c r="H261" t="s">
        <v>995</v>
      </c>
      <c r="I261" t="s">
        <v>996</v>
      </c>
      <c r="J261" t="s">
        <v>31</v>
      </c>
      <c r="K261" t="s">
        <v>997</v>
      </c>
      <c r="L261">
        <v>932882540</v>
      </c>
      <c r="M261" t="s">
        <v>33</v>
      </c>
      <c r="N261" t="s">
        <v>34</v>
      </c>
      <c r="O261" t="s">
        <v>58</v>
      </c>
      <c r="P261" t="s">
        <v>66</v>
      </c>
      <c r="Q261">
        <v>16272115</v>
      </c>
      <c r="R261" t="s">
        <v>37</v>
      </c>
      <c r="S261" t="s">
        <v>537</v>
      </c>
      <c r="T261" t="s">
        <v>39</v>
      </c>
      <c r="U261" s="1">
        <v>45838</v>
      </c>
      <c r="W261" s="5">
        <f ca="1">+(TODAY()-Tabla2[[#This Row],[FECHA DE NACIMIENTO]])/360</f>
        <v>128.05833333333334</v>
      </c>
    </row>
    <row r="262" spans="1:23" x14ac:dyDescent="0.45">
      <c r="A262" t="s">
        <v>23</v>
      </c>
      <c r="B262" t="s">
        <v>822</v>
      </c>
      <c r="C262" t="s">
        <v>89</v>
      </c>
      <c r="D262" s="1">
        <v>45803</v>
      </c>
      <c r="E262" t="s">
        <v>998</v>
      </c>
      <c r="F262" t="s">
        <v>999</v>
      </c>
      <c r="G262" t="s">
        <v>42</v>
      </c>
      <c r="H262" t="s">
        <v>327</v>
      </c>
      <c r="I262" t="s">
        <v>1000</v>
      </c>
      <c r="J262" t="s">
        <v>699</v>
      </c>
      <c r="K262" t="s">
        <v>1001</v>
      </c>
      <c r="L262">
        <v>920802027</v>
      </c>
      <c r="M262" t="s">
        <v>56</v>
      </c>
      <c r="N262" t="s">
        <v>536</v>
      </c>
      <c r="O262" t="s">
        <v>58</v>
      </c>
      <c r="P262" t="s">
        <v>66</v>
      </c>
      <c r="Q262">
        <v>28394434</v>
      </c>
      <c r="R262" t="s">
        <v>37</v>
      </c>
      <c r="S262" t="s">
        <v>537</v>
      </c>
      <c r="T262" t="s">
        <v>39</v>
      </c>
      <c r="U262" s="1">
        <v>45838</v>
      </c>
      <c r="W262" s="5">
        <f ca="1">+(TODAY()-Tabla2[[#This Row],[FECHA DE NACIMIENTO]])/360</f>
        <v>128.05833333333334</v>
      </c>
    </row>
    <row r="263" spans="1:23" x14ac:dyDescent="0.45">
      <c r="A263" t="s">
        <v>23</v>
      </c>
      <c r="B263" t="s">
        <v>632</v>
      </c>
      <c r="C263" t="s">
        <v>633</v>
      </c>
      <c r="D263" s="1">
        <v>45803</v>
      </c>
      <c r="E263" t="s">
        <v>1002</v>
      </c>
      <c r="F263" t="s">
        <v>1003</v>
      </c>
      <c r="G263" t="s">
        <v>42</v>
      </c>
      <c r="H263" t="s">
        <v>1004</v>
      </c>
      <c r="I263" t="s">
        <v>1005</v>
      </c>
      <c r="J263" t="s">
        <v>638</v>
      </c>
      <c r="K263" t="s">
        <v>1006</v>
      </c>
      <c r="L263">
        <v>964853561</v>
      </c>
      <c r="M263" t="s">
        <v>33</v>
      </c>
      <c r="N263" t="s">
        <v>57</v>
      </c>
      <c r="O263" t="s">
        <v>58</v>
      </c>
      <c r="P263" t="s">
        <v>66</v>
      </c>
      <c r="Q263">
        <v>27204110</v>
      </c>
      <c r="R263" t="s">
        <v>37</v>
      </c>
      <c r="S263" t="s">
        <v>38</v>
      </c>
      <c r="T263" t="s">
        <v>39</v>
      </c>
      <c r="U263" s="1">
        <v>45961</v>
      </c>
      <c r="W263" s="5">
        <f ca="1">+(TODAY()-Tabla2[[#This Row],[FECHA DE NACIMIENTO]])/360</f>
        <v>128.05833333333334</v>
      </c>
    </row>
    <row r="264" spans="1:23" x14ac:dyDescent="0.45">
      <c r="A264" t="s">
        <v>23</v>
      </c>
      <c r="B264" t="s">
        <v>131</v>
      </c>
      <c r="C264" t="s">
        <v>89</v>
      </c>
      <c r="D264" s="1">
        <v>45803</v>
      </c>
      <c r="E264" t="s">
        <v>1007</v>
      </c>
      <c r="F264" t="s">
        <v>1008</v>
      </c>
      <c r="G264" t="s">
        <v>42</v>
      </c>
      <c r="H264" t="s">
        <v>1009</v>
      </c>
      <c r="I264" t="s">
        <v>1010</v>
      </c>
      <c r="J264" t="s">
        <v>31</v>
      </c>
      <c r="K264" t="s">
        <v>1011</v>
      </c>
      <c r="L264">
        <v>963426931</v>
      </c>
      <c r="M264" t="s">
        <v>56</v>
      </c>
      <c r="N264" t="s">
        <v>34</v>
      </c>
      <c r="O264" t="s">
        <v>35</v>
      </c>
      <c r="P264" t="s">
        <v>82</v>
      </c>
      <c r="Q264">
        <v>19996756288</v>
      </c>
      <c r="R264" t="s">
        <v>37</v>
      </c>
      <c r="S264" t="s">
        <v>38</v>
      </c>
      <c r="T264" t="s">
        <v>89</v>
      </c>
      <c r="W264" s="5">
        <f ca="1">+(TODAY()-Tabla2[[#This Row],[FECHA DE NACIMIENTO]])/360</f>
        <v>128.05833333333334</v>
      </c>
    </row>
    <row r="265" spans="1:23" x14ac:dyDescent="0.45">
      <c r="A265" t="s">
        <v>23</v>
      </c>
      <c r="B265" t="s">
        <v>125</v>
      </c>
      <c r="C265" t="s">
        <v>89</v>
      </c>
      <c r="D265" s="1">
        <v>45803</v>
      </c>
      <c r="E265" t="s">
        <v>1012</v>
      </c>
      <c r="F265" t="s">
        <v>1013</v>
      </c>
      <c r="G265" t="s">
        <v>42</v>
      </c>
      <c r="H265" t="s">
        <v>1014</v>
      </c>
      <c r="I265" t="s">
        <v>1015</v>
      </c>
      <c r="J265" t="s">
        <v>54</v>
      </c>
      <c r="K265" t="s">
        <v>1016</v>
      </c>
      <c r="L265">
        <v>956018678</v>
      </c>
      <c r="M265" t="s">
        <v>33</v>
      </c>
      <c r="N265" t="s">
        <v>34</v>
      </c>
      <c r="O265" t="s">
        <v>58</v>
      </c>
      <c r="P265" t="s">
        <v>66</v>
      </c>
      <c r="Q265">
        <v>16659352</v>
      </c>
      <c r="R265" t="s">
        <v>37</v>
      </c>
      <c r="S265" t="s">
        <v>537</v>
      </c>
      <c r="T265" t="s">
        <v>39</v>
      </c>
      <c r="U265" s="1">
        <v>45930</v>
      </c>
      <c r="W265" s="5">
        <f ca="1">+(TODAY()-Tabla2[[#This Row],[FECHA DE NACIMIENTO]])/360</f>
        <v>128.05833333333334</v>
      </c>
    </row>
    <row r="266" spans="1:23" x14ac:dyDescent="0.45">
      <c r="A266" t="s">
        <v>23</v>
      </c>
      <c r="B266" t="s">
        <v>822</v>
      </c>
      <c r="C266" t="s">
        <v>89</v>
      </c>
      <c r="D266" s="1">
        <v>45803</v>
      </c>
      <c r="E266" t="s">
        <v>1017</v>
      </c>
      <c r="F266" t="s">
        <v>1018</v>
      </c>
      <c r="G266" t="s">
        <v>42</v>
      </c>
      <c r="H266" t="s">
        <v>1019</v>
      </c>
      <c r="I266" t="s">
        <v>1020</v>
      </c>
      <c r="J266" t="s">
        <v>699</v>
      </c>
      <c r="K266" t="s">
        <v>1021</v>
      </c>
      <c r="L266">
        <v>964264038</v>
      </c>
      <c r="M266" t="s">
        <v>33</v>
      </c>
      <c r="N266" t="s">
        <v>34</v>
      </c>
      <c r="O266" t="s">
        <v>58</v>
      </c>
      <c r="P266" t="s">
        <v>82</v>
      </c>
      <c r="Q266">
        <v>50013071358</v>
      </c>
      <c r="R266" t="s">
        <v>37</v>
      </c>
      <c r="S266" t="s">
        <v>38</v>
      </c>
      <c r="T266" t="s">
        <v>39</v>
      </c>
      <c r="U266" s="1">
        <v>45838</v>
      </c>
      <c r="W266" s="5">
        <f ca="1">+(TODAY()-Tabla2[[#This Row],[FECHA DE NACIMIENTO]])/360</f>
        <v>128.05833333333334</v>
      </c>
    </row>
    <row r="267" spans="1:23" x14ac:dyDescent="0.45">
      <c r="A267" t="s">
        <v>23</v>
      </c>
      <c r="B267" t="s">
        <v>171</v>
      </c>
      <c r="C267" t="s">
        <v>89</v>
      </c>
      <c r="D267" s="1">
        <v>45807</v>
      </c>
      <c r="E267" t="s">
        <v>1022</v>
      </c>
      <c r="F267" t="s">
        <v>1023</v>
      </c>
      <c r="G267" t="s">
        <v>42</v>
      </c>
      <c r="H267" t="s">
        <v>1024</v>
      </c>
      <c r="I267" t="s">
        <v>1025</v>
      </c>
      <c r="J267" t="s">
        <v>158</v>
      </c>
      <c r="K267" t="s">
        <v>1026</v>
      </c>
      <c r="L267">
        <v>920570705</v>
      </c>
      <c r="M267" t="s">
        <v>56</v>
      </c>
      <c r="N267" t="s">
        <v>34</v>
      </c>
      <c r="O267" t="s">
        <v>58</v>
      </c>
      <c r="P267" t="s">
        <v>66</v>
      </c>
      <c r="Q267">
        <v>13936768</v>
      </c>
      <c r="R267" t="s">
        <v>37</v>
      </c>
      <c r="S267" t="s">
        <v>38</v>
      </c>
      <c r="T267" t="s">
        <v>39</v>
      </c>
      <c r="U267" s="1">
        <v>45838</v>
      </c>
      <c r="W267" s="5">
        <f ca="1">+(TODAY()-Tabla2[[#This Row],[FECHA DE NACIMIENTO]])/360</f>
        <v>128.05833333333334</v>
      </c>
    </row>
    <row r="268" spans="1:23" x14ac:dyDescent="0.45">
      <c r="A268" t="s">
        <v>23</v>
      </c>
      <c r="B268" t="s">
        <v>822</v>
      </c>
      <c r="C268" t="s">
        <v>89</v>
      </c>
      <c r="D268" s="1">
        <v>45811</v>
      </c>
      <c r="E268" t="s">
        <v>1027</v>
      </c>
      <c r="F268" t="s">
        <v>1028</v>
      </c>
      <c r="G268" t="s">
        <v>28</v>
      </c>
      <c r="H268" t="s">
        <v>1029</v>
      </c>
      <c r="I268" t="s">
        <v>1030</v>
      </c>
      <c r="J268" t="s">
        <v>393</v>
      </c>
      <c r="K268" t="s">
        <v>1031</v>
      </c>
      <c r="L268">
        <v>932051589</v>
      </c>
      <c r="M268" t="s">
        <v>33</v>
      </c>
      <c r="N268" t="s">
        <v>34</v>
      </c>
      <c r="O268" t="s">
        <v>58</v>
      </c>
      <c r="P268" t="s">
        <v>66</v>
      </c>
      <c r="Q268">
        <v>171710219</v>
      </c>
      <c r="R268" t="s">
        <v>37</v>
      </c>
      <c r="S268" t="s">
        <v>137</v>
      </c>
      <c r="T268" t="s">
        <v>74</v>
      </c>
      <c r="U268" s="1">
        <v>45961</v>
      </c>
      <c r="W268" s="5">
        <f ca="1">+(TODAY()-Tabla2[[#This Row],[FECHA DE NACIMIENTO]])/360</f>
        <v>128.05833333333334</v>
      </c>
    </row>
    <row r="269" spans="1:23" x14ac:dyDescent="0.45">
      <c r="A269" t="s">
        <v>23</v>
      </c>
      <c r="B269" t="s">
        <v>125</v>
      </c>
      <c r="C269" t="s">
        <v>89</v>
      </c>
      <c r="D269" s="1">
        <v>45834</v>
      </c>
      <c r="E269" t="s">
        <v>1032</v>
      </c>
      <c r="F269" t="s">
        <v>1033</v>
      </c>
      <c r="G269" t="s">
        <v>42</v>
      </c>
      <c r="H269" t="s">
        <v>156</v>
      </c>
      <c r="I269" t="s">
        <v>1034</v>
      </c>
      <c r="J269" t="s">
        <v>436</v>
      </c>
      <c r="K269" t="s">
        <v>1035</v>
      </c>
      <c r="L269">
        <v>932999611</v>
      </c>
      <c r="M269" t="s">
        <v>33</v>
      </c>
      <c r="N269" t="s">
        <v>57</v>
      </c>
      <c r="O269" t="s">
        <v>35</v>
      </c>
      <c r="P269" t="s">
        <v>82</v>
      </c>
      <c r="Q269">
        <v>19830144413</v>
      </c>
      <c r="R269" t="s">
        <v>37</v>
      </c>
      <c r="S269" t="s">
        <v>38</v>
      </c>
      <c r="T269" t="s">
        <v>39</v>
      </c>
      <c r="U269" s="1">
        <v>45807</v>
      </c>
      <c r="W269" s="5">
        <f ca="1">+(TODAY()-Tabla2[[#This Row],[FECHA DE NACIMIENTO]])/360</f>
        <v>128.05833333333334</v>
      </c>
    </row>
    <row r="270" spans="1:23" x14ac:dyDescent="0.45">
      <c r="A270" t="s">
        <v>23</v>
      </c>
      <c r="B270" t="s">
        <v>125</v>
      </c>
      <c r="C270" t="s">
        <v>89</v>
      </c>
      <c r="D270" s="1">
        <v>45838</v>
      </c>
      <c r="E270" t="s">
        <v>1036</v>
      </c>
      <c r="F270" t="s">
        <v>1037</v>
      </c>
      <c r="G270" t="s">
        <v>42</v>
      </c>
      <c r="H270" t="s">
        <v>1038</v>
      </c>
      <c r="I270" t="s">
        <v>1039</v>
      </c>
      <c r="J270" t="s">
        <v>638</v>
      </c>
      <c r="K270" t="s">
        <v>1040</v>
      </c>
      <c r="L270">
        <v>998633613</v>
      </c>
      <c r="M270" t="s">
        <v>81</v>
      </c>
      <c r="N270" t="s">
        <v>34</v>
      </c>
      <c r="O270" t="s">
        <v>58</v>
      </c>
      <c r="P270" t="s">
        <v>66</v>
      </c>
      <c r="Q270">
        <v>12290581</v>
      </c>
      <c r="R270" t="s">
        <v>37</v>
      </c>
      <c r="S270" t="s">
        <v>537</v>
      </c>
      <c r="T270" t="s">
        <v>39</v>
      </c>
      <c r="U270" s="1">
        <v>45869</v>
      </c>
      <c r="W270" s="5">
        <f ca="1">+(TODAY()-Tabla2[[#This Row],[FECHA DE NACIMIENTO]])/360</f>
        <v>128.05833333333334</v>
      </c>
    </row>
    <row r="271" spans="1:23" x14ac:dyDescent="0.45">
      <c r="A271" t="s">
        <v>23</v>
      </c>
      <c r="B271" t="s">
        <v>812</v>
      </c>
      <c r="C271" t="s">
        <v>89</v>
      </c>
      <c r="D271" s="1">
        <v>45838</v>
      </c>
      <c r="E271" t="s">
        <v>1041</v>
      </c>
      <c r="F271" t="s">
        <v>1042</v>
      </c>
      <c r="G271" t="s">
        <v>42</v>
      </c>
      <c r="H271" t="s">
        <v>1043</v>
      </c>
      <c r="I271" t="s">
        <v>1044</v>
      </c>
      <c r="J271" t="s">
        <v>215</v>
      </c>
      <c r="K271" t="s">
        <v>1045</v>
      </c>
      <c r="L271">
        <v>953843035</v>
      </c>
      <c r="M271" t="s">
        <v>33</v>
      </c>
      <c r="N271" t="s">
        <v>34</v>
      </c>
      <c r="O271" t="s">
        <v>35</v>
      </c>
      <c r="P271" t="s">
        <v>36</v>
      </c>
      <c r="Q271">
        <v>82480293</v>
      </c>
      <c r="R271" t="s">
        <v>37</v>
      </c>
      <c r="S271" t="s">
        <v>537</v>
      </c>
      <c r="T271" t="s">
        <v>39</v>
      </c>
      <c r="U271" s="1">
        <v>45869</v>
      </c>
      <c r="W271" s="5">
        <f ca="1">+(TODAY()-Tabla2[[#This Row],[FECHA DE NACIMIENTO]])/360</f>
        <v>128.05833333333334</v>
      </c>
    </row>
    <row r="272" spans="1:23" x14ac:dyDescent="0.45">
      <c r="A272" t="s">
        <v>23</v>
      </c>
      <c r="B272" t="s">
        <v>388</v>
      </c>
      <c r="C272" t="s">
        <v>89</v>
      </c>
      <c r="D272" s="1">
        <v>45838</v>
      </c>
      <c r="E272" t="s">
        <v>1046</v>
      </c>
      <c r="F272" t="s">
        <v>1047</v>
      </c>
      <c r="G272" t="s">
        <v>28</v>
      </c>
      <c r="H272" t="s">
        <v>1048</v>
      </c>
      <c r="I272" t="s">
        <v>1049</v>
      </c>
      <c r="J272" t="s">
        <v>516</v>
      </c>
      <c r="K272" t="s">
        <v>1050</v>
      </c>
      <c r="L272">
        <v>975872671</v>
      </c>
      <c r="M272" t="s">
        <v>33</v>
      </c>
      <c r="N272" t="s">
        <v>34</v>
      </c>
      <c r="O272" t="s">
        <v>58</v>
      </c>
      <c r="P272" t="s">
        <v>66</v>
      </c>
      <c r="Q272">
        <v>15153479</v>
      </c>
      <c r="R272" t="s">
        <v>37</v>
      </c>
      <c r="S272" t="s">
        <v>537</v>
      </c>
      <c r="T272" t="s">
        <v>39</v>
      </c>
      <c r="W272" s="5">
        <f ca="1">+(TODAY()-Tabla2[[#This Row],[FECHA DE NACIMIENTO]])/360</f>
        <v>128.05833333333334</v>
      </c>
    </row>
    <row r="273" spans="1:23" x14ac:dyDescent="0.45">
      <c r="A273" t="s">
        <v>23</v>
      </c>
      <c r="B273" t="s">
        <v>812</v>
      </c>
      <c r="C273" t="s">
        <v>89</v>
      </c>
      <c r="D273" s="1">
        <v>45838</v>
      </c>
      <c r="E273" t="s">
        <v>1051</v>
      </c>
      <c r="F273" t="s">
        <v>1052</v>
      </c>
      <c r="G273" t="s">
        <v>42</v>
      </c>
      <c r="H273" t="s">
        <v>69</v>
      </c>
      <c r="I273" t="s">
        <v>1053</v>
      </c>
      <c r="J273" t="s">
        <v>643</v>
      </c>
      <c r="K273" t="s">
        <v>1054</v>
      </c>
      <c r="L273">
        <v>966101088</v>
      </c>
      <c r="M273" t="s">
        <v>56</v>
      </c>
      <c r="N273" t="s">
        <v>34</v>
      </c>
      <c r="O273" t="s">
        <v>35</v>
      </c>
      <c r="P273" t="s">
        <v>36</v>
      </c>
      <c r="Q273">
        <v>74916210</v>
      </c>
      <c r="R273" t="s">
        <v>37</v>
      </c>
      <c r="S273" t="s">
        <v>537</v>
      </c>
      <c r="T273" t="s">
        <v>39</v>
      </c>
      <c r="U273" s="1">
        <v>45961</v>
      </c>
      <c r="W273" s="5">
        <f ca="1">+(TODAY()-Tabla2[[#This Row],[FECHA DE NACIMIENTO]])/360</f>
        <v>128.05833333333334</v>
      </c>
    </row>
    <row r="274" spans="1:23" x14ac:dyDescent="0.45">
      <c r="A274" t="s">
        <v>23</v>
      </c>
      <c r="B274" t="s">
        <v>812</v>
      </c>
      <c r="C274" t="s">
        <v>89</v>
      </c>
      <c r="D274" s="1">
        <v>45838</v>
      </c>
      <c r="E274" t="s">
        <v>1055</v>
      </c>
      <c r="F274" t="s">
        <v>1056</v>
      </c>
      <c r="G274" t="s">
        <v>28</v>
      </c>
      <c r="H274" t="s">
        <v>1057</v>
      </c>
      <c r="I274" t="s">
        <v>1058</v>
      </c>
      <c r="J274" t="s">
        <v>643</v>
      </c>
      <c r="K274" t="s">
        <v>1059</v>
      </c>
      <c r="L274">
        <v>934828457</v>
      </c>
      <c r="M274" t="s">
        <v>56</v>
      </c>
      <c r="N274" t="s">
        <v>34</v>
      </c>
      <c r="O274" t="s">
        <v>58</v>
      </c>
      <c r="P274" t="s">
        <v>66</v>
      </c>
      <c r="Q274">
        <v>17073286</v>
      </c>
      <c r="R274" t="s">
        <v>37</v>
      </c>
      <c r="S274" t="s">
        <v>537</v>
      </c>
      <c r="T274" t="s">
        <v>39</v>
      </c>
      <c r="U274" s="1">
        <v>45869</v>
      </c>
      <c r="W274" s="5">
        <f ca="1">+(TODAY()-Tabla2[[#This Row],[FECHA DE NACIMIENTO]])/360</f>
        <v>128.05833333333334</v>
      </c>
    </row>
    <row r="275" spans="1:23" x14ac:dyDescent="0.45">
      <c r="A275" t="s">
        <v>23</v>
      </c>
      <c r="B275" t="s">
        <v>812</v>
      </c>
      <c r="C275" t="s">
        <v>89</v>
      </c>
      <c r="D275" s="1">
        <v>45838</v>
      </c>
      <c r="E275" t="s">
        <v>1060</v>
      </c>
      <c r="F275" t="s">
        <v>1061</v>
      </c>
      <c r="G275" t="s">
        <v>42</v>
      </c>
      <c r="H275" t="s">
        <v>1062</v>
      </c>
      <c r="I275" t="s">
        <v>1063</v>
      </c>
      <c r="J275" t="s">
        <v>165</v>
      </c>
      <c r="K275" t="s">
        <v>1064</v>
      </c>
      <c r="L275">
        <v>976356768</v>
      </c>
      <c r="M275" t="s">
        <v>33</v>
      </c>
      <c r="N275" t="s">
        <v>57</v>
      </c>
      <c r="O275" t="s">
        <v>35</v>
      </c>
      <c r="P275" t="s">
        <v>96</v>
      </c>
      <c r="Q275">
        <v>777926981203</v>
      </c>
      <c r="R275" t="s">
        <v>37</v>
      </c>
      <c r="S275" t="s">
        <v>38</v>
      </c>
      <c r="T275" t="s">
        <v>39</v>
      </c>
      <c r="U275" s="1">
        <v>45900</v>
      </c>
      <c r="W275" s="5">
        <f ca="1">+(TODAY()-Tabla2[[#This Row],[FECHA DE NACIMIENTO]])/360</f>
        <v>128.05833333333334</v>
      </c>
    </row>
    <row r="276" spans="1:23" x14ac:dyDescent="0.45">
      <c r="A276" t="s">
        <v>23</v>
      </c>
      <c r="B276" t="s">
        <v>822</v>
      </c>
      <c r="C276" t="s">
        <v>89</v>
      </c>
      <c r="D276" s="1">
        <v>45838</v>
      </c>
      <c r="E276" t="s">
        <v>1065</v>
      </c>
      <c r="F276" t="s">
        <v>1066</v>
      </c>
      <c r="G276" t="s">
        <v>42</v>
      </c>
      <c r="H276" t="s">
        <v>156</v>
      </c>
      <c r="I276" t="s">
        <v>1067</v>
      </c>
      <c r="J276" t="s">
        <v>316</v>
      </c>
      <c r="K276" t="s">
        <v>1068</v>
      </c>
      <c r="L276">
        <v>972679181</v>
      </c>
      <c r="M276" t="s">
        <v>33</v>
      </c>
      <c r="N276" t="s">
        <v>34</v>
      </c>
      <c r="O276" t="s">
        <v>58</v>
      </c>
      <c r="P276" t="s">
        <v>66</v>
      </c>
      <c r="Q276">
        <v>19681902</v>
      </c>
      <c r="R276" t="s">
        <v>37</v>
      </c>
      <c r="S276" t="s">
        <v>537</v>
      </c>
      <c r="T276" t="s">
        <v>39</v>
      </c>
      <c r="U276" s="1">
        <v>45991</v>
      </c>
      <c r="W276" s="5">
        <f ca="1">+(TODAY()-Tabla2[[#This Row],[FECHA DE NACIMIENTO]])/360</f>
        <v>128.05833333333334</v>
      </c>
    </row>
    <row r="277" spans="1:23" x14ac:dyDescent="0.45">
      <c r="A277" t="s">
        <v>23</v>
      </c>
      <c r="B277" t="s">
        <v>131</v>
      </c>
      <c r="C277" t="s">
        <v>89</v>
      </c>
      <c r="D277" s="1">
        <v>45838</v>
      </c>
      <c r="E277" t="s">
        <v>1069</v>
      </c>
      <c r="F277" t="s">
        <v>1070</v>
      </c>
      <c r="G277" t="s">
        <v>42</v>
      </c>
      <c r="H277" t="s">
        <v>1071</v>
      </c>
      <c r="I277" t="s">
        <v>1072</v>
      </c>
      <c r="J277" t="s">
        <v>165</v>
      </c>
      <c r="K277" t="s">
        <v>1073</v>
      </c>
      <c r="L277">
        <v>967087362</v>
      </c>
      <c r="M277" t="s">
        <v>33</v>
      </c>
      <c r="N277" t="s">
        <v>34</v>
      </c>
      <c r="O277" t="s">
        <v>58</v>
      </c>
      <c r="P277" t="s">
        <v>1074</v>
      </c>
      <c r="Q277">
        <v>17675115</v>
      </c>
      <c r="R277" t="s">
        <v>60</v>
      </c>
      <c r="S277" t="s">
        <v>38</v>
      </c>
      <c r="T277" t="s">
        <v>74</v>
      </c>
      <c r="W277" s="5">
        <f ca="1">+(TODAY()-Tabla2[[#This Row],[FECHA DE NACIMIENTO]])/360</f>
        <v>128.05833333333334</v>
      </c>
    </row>
    <row r="278" spans="1:23" x14ac:dyDescent="0.45">
      <c r="A278" t="s">
        <v>23</v>
      </c>
      <c r="B278" t="s">
        <v>171</v>
      </c>
      <c r="C278" t="s">
        <v>89</v>
      </c>
      <c r="D278" s="1">
        <v>45838</v>
      </c>
      <c r="E278" t="s">
        <v>1075</v>
      </c>
      <c r="F278" t="s">
        <v>1076</v>
      </c>
      <c r="G278" t="s">
        <v>42</v>
      </c>
      <c r="H278" t="s">
        <v>146</v>
      </c>
      <c r="I278" t="s">
        <v>1077</v>
      </c>
      <c r="J278" t="s">
        <v>204</v>
      </c>
      <c r="K278" t="s">
        <v>1078</v>
      </c>
      <c r="L278">
        <v>949761895</v>
      </c>
      <c r="M278" t="s">
        <v>33</v>
      </c>
      <c r="N278" t="s">
        <v>34</v>
      </c>
      <c r="O278" t="s">
        <v>35</v>
      </c>
      <c r="P278" t="s">
        <v>82</v>
      </c>
      <c r="Q278">
        <v>19992599250</v>
      </c>
      <c r="R278" t="s">
        <v>37</v>
      </c>
      <c r="S278" t="s">
        <v>38</v>
      </c>
      <c r="T278" t="s">
        <v>39</v>
      </c>
      <c r="U278" s="1">
        <v>45869</v>
      </c>
      <c r="W278" s="5">
        <f ca="1">+(TODAY()-Tabla2[[#This Row],[FECHA DE NACIMIENTO]])/360</f>
        <v>128.05833333333334</v>
      </c>
    </row>
    <row r="279" spans="1:23" x14ac:dyDescent="0.45">
      <c r="A279" t="s">
        <v>23</v>
      </c>
      <c r="B279" t="s">
        <v>171</v>
      </c>
      <c r="C279" t="s">
        <v>89</v>
      </c>
      <c r="D279" s="1">
        <v>45838</v>
      </c>
      <c r="E279" t="s">
        <v>1079</v>
      </c>
      <c r="F279" t="s">
        <v>1080</v>
      </c>
      <c r="G279" t="s">
        <v>42</v>
      </c>
      <c r="H279" t="s">
        <v>1081</v>
      </c>
      <c r="I279" t="s">
        <v>1082</v>
      </c>
      <c r="J279" t="s">
        <v>204</v>
      </c>
      <c r="K279" t="s">
        <v>1083</v>
      </c>
      <c r="L279">
        <v>949955663</v>
      </c>
      <c r="M279" t="s">
        <v>81</v>
      </c>
      <c r="N279" t="s">
        <v>34</v>
      </c>
      <c r="O279" t="s">
        <v>35</v>
      </c>
      <c r="P279" t="s">
        <v>96</v>
      </c>
      <c r="Q279">
        <v>51280728</v>
      </c>
      <c r="R279" t="s">
        <v>37</v>
      </c>
      <c r="S279" t="s">
        <v>38</v>
      </c>
      <c r="T279" t="s">
        <v>39</v>
      </c>
      <c r="U279" s="1">
        <v>45869</v>
      </c>
      <c r="W279" s="5">
        <f ca="1">+(TODAY()-Tabla2[[#This Row],[FECHA DE NACIMIENTO]])/360</f>
        <v>128.05833333333334</v>
      </c>
    </row>
    <row r="280" spans="1:23" x14ac:dyDescent="0.45">
      <c r="A280" t="s">
        <v>23</v>
      </c>
      <c r="B280" t="s">
        <v>632</v>
      </c>
      <c r="C280" t="s">
        <v>633</v>
      </c>
      <c r="D280" s="1">
        <v>45838</v>
      </c>
      <c r="E280" t="s">
        <v>1084</v>
      </c>
      <c r="F280" t="s">
        <v>1085</v>
      </c>
      <c r="G280" t="s">
        <v>42</v>
      </c>
      <c r="H280" t="s">
        <v>1086</v>
      </c>
      <c r="I280" t="s">
        <v>1087</v>
      </c>
      <c r="J280" t="s">
        <v>215</v>
      </c>
      <c r="K280" t="s">
        <v>1088</v>
      </c>
      <c r="L280">
        <v>988214632</v>
      </c>
      <c r="M280" t="s">
        <v>33</v>
      </c>
      <c r="N280" t="s">
        <v>34</v>
      </c>
      <c r="O280" t="s">
        <v>35</v>
      </c>
      <c r="P280" t="s">
        <v>82</v>
      </c>
      <c r="Q280">
        <v>10013134419</v>
      </c>
      <c r="R280" t="s">
        <v>37</v>
      </c>
      <c r="S280" t="s">
        <v>137</v>
      </c>
      <c r="T280" t="s">
        <v>74</v>
      </c>
      <c r="U280" s="1">
        <v>45991</v>
      </c>
      <c r="W280" s="5">
        <f ca="1">+(TODAY()-Tabla2[[#This Row],[FECHA DE NACIMIENTO]])/360</f>
        <v>128.05833333333334</v>
      </c>
    </row>
    <row r="281" spans="1:23" x14ac:dyDescent="0.45">
      <c r="A281" t="s">
        <v>23</v>
      </c>
      <c r="B281" t="s">
        <v>125</v>
      </c>
      <c r="C281" t="s">
        <v>89</v>
      </c>
      <c r="D281" s="1">
        <v>45838</v>
      </c>
      <c r="E281" t="s">
        <v>1089</v>
      </c>
      <c r="F281" t="s">
        <v>1090</v>
      </c>
      <c r="G281" t="s">
        <v>28</v>
      </c>
      <c r="H281" t="s">
        <v>89</v>
      </c>
      <c r="I281" t="s">
        <v>1091</v>
      </c>
      <c r="J281" t="s">
        <v>364</v>
      </c>
      <c r="K281" t="s">
        <v>1092</v>
      </c>
      <c r="L281">
        <v>934062862</v>
      </c>
      <c r="M281" t="s">
        <v>56</v>
      </c>
      <c r="N281" t="s">
        <v>34</v>
      </c>
      <c r="O281" t="s">
        <v>58</v>
      </c>
      <c r="P281" t="s">
        <v>66</v>
      </c>
      <c r="Q281">
        <v>29770073152</v>
      </c>
      <c r="R281" t="s">
        <v>37</v>
      </c>
      <c r="S281" t="s">
        <v>137</v>
      </c>
      <c r="T281" t="s">
        <v>74</v>
      </c>
      <c r="U281" s="1">
        <v>45869</v>
      </c>
      <c r="W281" s="5">
        <f ca="1">+(TODAY()-Tabla2[[#This Row],[FECHA DE NACIMIENTO]])/360</f>
        <v>128.05833333333334</v>
      </c>
    </row>
    <row r="282" spans="1:23" x14ac:dyDescent="0.45">
      <c r="A282" t="s">
        <v>23</v>
      </c>
      <c r="B282" t="s">
        <v>125</v>
      </c>
      <c r="C282" t="s">
        <v>89</v>
      </c>
      <c r="D282" s="1">
        <v>45838</v>
      </c>
      <c r="E282" t="s">
        <v>1093</v>
      </c>
      <c r="F282" t="s">
        <v>1094</v>
      </c>
      <c r="G282" t="s">
        <v>28</v>
      </c>
      <c r="H282" t="s">
        <v>680</v>
      </c>
      <c r="I282" t="s">
        <v>1095</v>
      </c>
      <c r="J282" t="s">
        <v>393</v>
      </c>
      <c r="K282" t="s">
        <v>1096</v>
      </c>
      <c r="L282">
        <v>950345405</v>
      </c>
      <c r="M282" t="s">
        <v>33</v>
      </c>
      <c r="N282" t="s">
        <v>57</v>
      </c>
      <c r="O282" t="s">
        <v>35</v>
      </c>
      <c r="P282" t="s">
        <v>36</v>
      </c>
      <c r="Q282">
        <v>87232859</v>
      </c>
      <c r="R282" t="s">
        <v>37</v>
      </c>
      <c r="S282" t="s">
        <v>537</v>
      </c>
      <c r="T282" t="s">
        <v>39</v>
      </c>
      <c r="U282" s="1">
        <v>45869</v>
      </c>
      <c r="W282" s="5">
        <f ca="1">+(TODAY()-Tabla2[[#This Row],[FECHA DE NACIMIENTO]])/360</f>
        <v>128.05833333333334</v>
      </c>
    </row>
    <row r="283" spans="1:23" x14ac:dyDescent="0.45">
      <c r="A283" t="s">
        <v>23</v>
      </c>
      <c r="B283" t="s">
        <v>125</v>
      </c>
      <c r="C283" t="s">
        <v>89</v>
      </c>
      <c r="D283" s="1">
        <v>45838</v>
      </c>
      <c r="E283" t="s">
        <v>1097</v>
      </c>
      <c r="F283" t="s">
        <v>1098</v>
      </c>
      <c r="G283" t="s">
        <v>28</v>
      </c>
      <c r="H283" t="s">
        <v>1099</v>
      </c>
      <c r="I283" t="s">
        <v>1100</v>
      </c>
      <c r="J283" t="s">
        <v>699</v>
      </c>
      <c r="K283" t="s">
        <v>1101</v>
      </c>
      <c r="L283">
        <v>56985733880</v>
      </c>
      <c r="M283" t="s">
        <v>33</v>
      </c>
      <c r="N283" t="s">
        <v>34</v>
      </c>
      <c r="O283" t="s">
        <v>58</v>
      </c>
      <c r="P283" t="s">
        <v>66</v>
      </c>
      <c r="Q283">
        <v>22064667</v>
      </c>
      <c r="R283" t="s">
        <v>37</v>
      </c>
      <c r="S283" t="s">
        <v>537</v>
      </c>
      <c r="T283" t="s">
        <v>39</v>
      </c>
      <c r="U283" s="1">
        <v>45869</v>
      </c>
      <c r="W283" s="5">
        <f ca="1">+(TODAY()-Tabla2[[#This Row],[FECHA DE NACIMIENTO]])/360</f>
        <v>128.05833333333334</v>
      </c>
    </row>
    <row r="284" spans="1:23" x14ac:dyDescent="0.45">
      <c r="A284" t="s">
        <v>23</v>
      </c>
      <c r="B284" t="s">
        <v>131</v>
      </c>
      <c r="C284" t="s">
        <v>1102</v>
      </c>
      <c r="D284" s="1">
        <v>45838</v>
      </c>
      <c r="E284" t="s">
        <v>1103</v>
      </c>
      <c r="F284" t="s">
        <v>1104</v>
      </c>
      <c r="G284" t="s">
        <v>42</v>
      </c>
      <c r="H284" t="s">
        <v>1105</v>
      </c>
      <c r="I284" t="s">
        <v>1106</v>
      </c>
      <c r="J284" t="s">
        <v>393</v>
      </c>
      <c r="K284" t="s">
        <v>1107</v>
      </c>
      <c r="L284">
        <v>953979986</v>
      </c>
      <c r="M284" t="s">
        <v>33</v>
      </c>
      <c r="N284" t="s">
        <v>34</v>
      </c>
      <c r="O284" t="s">
        <v>58</v>
      </c>
      <c r="P284" t="s">
        <v>66</v>
      </c>
      <c r="Q284">
        <v>18531867</v>
      </c>
      <c r="R284" t="s">
        <v>37</v>
      </c>
      <c r="S284" t="s">
        <v>38</v>
      </c>
      <c r="T284" t="s">
        <v>39</v>
      </c>
      <c r="U284" s="1">
        <v>45869</v>
      </c>
      <c r="W284" s="5">
        <f ca="1">+(TODAY()-Tabla2[[#This Row],[FECHA DE NACIMIENTO]])/360</f>
        <v>128.05833333333334</v>
      </c>
    </row>
    <row r="285" spans="1:23" x14ac:dyDescent="0.45">
      <c r="A285" t="s">
        <v>23</v>
      </c>
      <c r="B285" t="s">
        <v>131</v>
      </c>
      <c r="C285" t="s">
        <v>1102</v>
      </c>
      <c r="D285" s="1">
        <v>45838</v>
      </c>
      <c r="E285" t="s">
        <v>1108</v>
      </c>
      <c r="F285" t="s">
        <v>133</v>
      </c>
      <c r="G285" t="s">
        <v>28</v>
      </c>
      <c r="H285" t="s">
        <v>1109</v>
      </c>
      <c r="I285" t="s">
        <v>1110</v>
      </c>
      <c r="J285" t="s">
        <v>165</v>
      </c>
      <c r="K285" t="s">
        <v>135</v>
      </c>
      <c r="L285">
        <v>998804070</v>
      </c>
      <c r="M285" t="s">
        <v>33</v>
      </c>
      <c r="N285" t="s">
        <v>136</v>
      </c>
      <c r="O285" t="s">
        <v>58</v>
      </c>
      <c r="P285" t="s">
        <v>66</v>
      </c>
      <c r="Q285">
        <v>277895218</v>
      </c>
      <c r="R285" t="s">
        <v>37</v>
      </c>
      <c r="S285" t="s">
        <v>38</v>
      </c>
      <c r="T285" t="s">
        <v>39</v>
      </c>
      <c r="U285" s="1">
        <v>45869</v>
      </c>
      <c r="W285" s="5">
        <f ca="1">+(TODAY()-Tabla2[[#This Row],[FECHA DE NACIMIENTO]])/360</f>
        <v>128.05833333333334</v>
      </c>
    </row>
    <row r="286" spans="1:23" x14ac:dyDescent="0.45">
      <c r="A286" t="s">
        <v>23</v>
      </c>
      <c r="B286" t="s">
        <v>171</v>
      </c>
      <c r="C286" t="s">
        <v>89</v>
      </c>
      <c r="D286" s="1">
        <v>45838</v>
      </c>
      <c r="E286" t="s">
        <v>1111</v>
      </c>
      <c r="F286" t="s">
        <v>1112</v>
      </c>
      <c r="G286" t="s">
        <v>28</v>
      </c>
      <c r="H286" t="s">
        <v>52</v>
      </c>
      <c r="I286" t="s">
        <v>1113</v>
      </c>
      <c r="J286" t="s">
        <v>204</v>
      </c>
      <c r="K286" t="s">
        <v>1114</v>
      </c>
      <c r="L286">
        <v>56976741512</v>
      </c>
      <c r="M286" t="s">
        <v>33</v>
      </c>
      <c r="N286" t="s">
        <v>57</v>
      </c>
      <c r="O286" t="s">
        <v>35</v>
      </c>
      <c r="P286" t="s">
        <v>82</v>
      </c>
      <c r="Q286">
        <v>19830034326</v>
      </c>
      <c r="R286" t="s">
        <v>37</v>
      </c>
      <c r="S286" t="s">
        <v>38</v>
      </c>
      <c r="T286" t="s">
        <v>39</v>
      </c>
      <c r="U286" s="1">
        <v>45869</v>
      </c>
      <c r="W286" s="5">
        <f ca="1">+(TODAY()-Tabla2[[#This Row],[FECHA DE NACIMIENTO]])/360</f>
        <v>128.05833333333334</v>
      </c>
    </row>
    <row r="287" spans="1:23" x14ac:dyDescent="0.45">
      <c r="A287" t="s">
        <v>23</v>
      </c>
      <c r="B287" t="s">
        <v>171</v>
      </c>
      <c r="C287" t="s">
        <v>89</v>
      </c>
      <c r="D287" s="1">
        <v>45842</v>
      </c>
      <c r="E287" t="s">
        <v>1115</v>
      </c>
      <c r="F287" t="s">
        <v>1116</v>
      </c>
      <c r="G287" t="s">
        <v>42</v>
      </c>
      <c r="H287" t="s">
        <v>156</v>
      </c>
      <c r="I287" t="s">
        <v>1117</v>
      </c>
      <c r="J287" t="s">
        <v>516</v>
      </c>
      <c r="K287" t="s">
        <v>1118</v>
      </c>
      <c r="L287">
        <v>957639734</v>
      </c>
      <c r="M287" t="s">
        <v>33</v>
      </c>
      <c r="N287" t="s">
        <v>34</v>
      </c>
      <c r="O287" t="s">
        <v>58</v>
      </c>
      <c r="P287" t="s">
        <v>66</v>
      </c>
      <c r="Q287">
        <v>185932125</v>
      </c>
      <c r="R287" t="s">
        <v>37</v>
      </c>
      <c r="S287" t="s">
        <v>38</v>
      </c>
      <c r="T287" t="s">
        <v>89</v>
      </c>
      <c r="U287" s="1">
        <v>45869</v>
      </c>
      <c r="W287" s="5">
        <f ca="1">+(TODAY()-Tabla2[[#This Row],[FECHA DE NACIMIENTO]])/360</f>
        <v>128.05833333333334</v>
      </c>
    </row>
    <row r="288" spans="1:23" x14ac:dyDescent="0.45">
      <c r="A288" t="s">
        <v>23</v>
      </c>
      <c r="B288" t="s">
        <v>131</v>
      </c>
      <c r="C288" t="s">
        <v>89</v>
      </c>
      <c r="D288" s="1">
        <v>45866</v>
      </c>
      <c r="E288" t="s">
        <v>1119</v>
      </c>
      <c r="F288" t="s">
        <v>1120</v>
      </c>
      <c r="G288" t="s">
        <v>42</v>
      </c>
      <c r="H288" t="s">
        <v>1121</v>
      </c>
      <c r="I288" t="s">
        <v>1122</v>
      </c>
      <c r="J288" t="s">
        <v>142</v>
      </c>
      <c r="K288" t="s">
        <v>1123</v>
      </c>
      <c r="L288">
        <v>931371824</v>
      </c>
      <c r="M288" t="s">
        <v>33</v>
      </c>
      <c r="N288" t="s">
        <v>34</v>
      </c>
      <c r="O288" t="s">
        <v>58</v>
      </c>
      <c r="P288" t="s">
        <v>66</v>
      </c>
      <c r="Q288">
        <v>20221783</v>
      </c>
      <c r="R288" t="s">
        <v>60</v>
      </c>
      <c r="S288" t="s">
        <v>38</v>
      </c>
      <c r="T288" t="s">
        <v>39</v>
      </c>
      <c r="W288" s="5">
        <f ca="1">+(TODAY()-Tabla2[[#This Row],[FECHA DE NACIMIENTO]])/360</f>
        <v>128.05833333333334</v>
      </c>
    </row>
    <row r="289" spans="1:23" x14ac:dyDescent="0.45">
      <c r="A289" t="s">
        <v>23</v>
      </c>
      <c r="B289" t="s">
        <v>812</v>
      </c>
      <c r="C289" t="s">
        <v>89</v>
      </c>
      <c r="D289" s="1">
        <v>45866</v>
      </c>
      <c r="E289" t="s">
        <v>1124</v>
      </c>
      <c r="F289" t="s">
        <v>1125</v>
      </c>
      <c r="G289" t="s">
        <v>42</v>
      </c>
      <c r="H289" t="s">
        <v>1126</v>
      </c>
      <c r="I289" t="s">
        <v>1127</v>
      </c>
      <c r="J289" t="s">
        <v>834</v>
      </c>
      <c r="K289" t="s">
        <v>1128</v>
      </c>
      <c r="L289">
        <v>979335969</v>
      </c>
      <c r="M289" t="s">
        <v>33</v>
      </c>
      <c r="N289" t="s">
        <v>34</v>
      </c>
      <c r="O289" t="s">
        <v>58</v>
      </c>
      <c r="P289" t="s">
        <v>66</v>
      </c>
      <c r="Q289">
        <v>16640313</v>
      </c>
      <c r="R289" t="s">
        <v>37</v>
      </c>
      <c r="S289" t="s">
        <v>38</v>
      </c>
      <c r="T289" t="s">
        <v>39</v>
      </c>
      <c r="U289" s="1">
        <v>45869</v>
      </c>
      <c r="W289" s="5">
        <f ca="1">+(TODAY()-Tabla2[[#This Row],[FECHA DE NACIMIENTO]])/360</f>
        <v>128.05833333333334</v>
      </c>
    </row>
    <row r="290" spans="1:23" x14ac:dyDescent="0.45">
      <c r="A290" t="s">
        <v>23</v>
      </c>
      <c r="B290" t="s">
        <v>388</v>
      </c>
      <c r="C290" t="s">
        <v>89</v>
      </c>
      <c r="D290" s="1">
        <v>45866</v>
      </c>
      <c r="E290" t="s">
        <v>1129</v>
      </c>
      <c r="F290" t="s">
        <v>1130</v>
      </c>
      <c r="G290" t="s">
        <v>28</v>
      </c>
      <c r="H290" t="s">
        <v>1131</v>
      </c>
      <c r="I290" t="s">
        <v>1132</v>
      </c>
      <c r="J290" t="s">
        <v>834</v>
      </c>
      <c r="K290" t="s">
        <v>1133</v>
      </c>
      <c r="L290">
        <v>950664827</v>
      </c>
      <c r="M290" t="s">
        <v>33</v>
      </c>
      <c r="N290" t="s">
        <v>34</v>
      </c>
      <c r="O290" t="s">
        <v>58</v>
      </c>
      <c r="P290" t="s">
        <v>36</v>
      </c>
      <c r="Q290">
        <v>7058494377</v>
      </c>
      <c r="R290" t="s">
        <v>37</v>
      </c>
      <c r="S290" t="s">
        <v>537</v>
      </c>
      <c r="T290" t="s">
        <v>39</v>
      </c>
      <c r="W290" s="5">
        <f ca="1">+(TODAY()-Tabla2[[#This Row],[FECHA DE NACIMIENTO]])/360</f>
        <v>128.05833333333334</v>
      </c>
    </row>
    <row r="291" spans="1:23" x14ac:dyDescent="0.45">
      <c r="A291" t="s">
        <v>23</v>
      </c>
      <c r="B291" t="s">
        <v>632</v>
      </c>
      <c r="C291" t="s">
        <v>633</v>
      </c>
      <c r="D291" s="1">
        <v>45866</v>
      </c>
      <c r="E291" t="s">
        <v>1134</v>
      </c>
      <c r="F291" t="s">
        <v>1135</v>
      </c>
      <c r="G291" t="s">
        <v>28</v>
      </c>
      <c r="H291" t="s">
        <v>1136</v>
      </c>
      <c r="I291" t="s">
        <v>1137</v>
      </c>
      <c r="J291" t="s">
        <v>94</v>
      </c>
      <c r="K291" t="s">
        <v>1138</v>
      </c>
      <c r="L291">
        <v>959406449</v>
      </c>
      <c r="M291" t="s">
        <v>33</v>
      </c>
      <c r="N291" t="s">
        <v>34</v>
      </c>
      <c r="O291" t="s">
        <v>35</v>
      </c>
      <c r="P291" t="s">
        <v>130</v>
      </c>
      <c r="Q291">
        <v>991724451</v>
      </c>
      <c r="R291" t="s">
        <v>60</v>
      </c>
      <c r="S291" t="s">
        <v>38</v>
      </c>
      <c r="T291" t="s">
        <v>39</v>
      </c>
      <c r="W291" s="5">
        <f ca="1">+(TODAY()-Tabla2[[#This Row],[FECHA DE NACIMIENTO]])/360</f>
        <v>128.05833333333334</v>
      </c>
    </row>
    <row r="292" spans="1:23" x14ac:dyDescent="0.45">
      <c r="A292" t="s">
        <v>23</v>
      </c>
      <c r="B292" t="s">
        <v>131</v>
      </c>
      <c r="C292" t="s">
        <v>89</v>
      </c>
      <c r="D292" s="1">
        <v>45866</v>
      </c>
      <c r="E292" t="s">
        <v>1139</v>
      </c>
      <c r="F292" t="s">
        <v>1140</v>
      </c>
      <c r="G292" t="s">
        <v>42</v>
      </c>
      <c r="H292" t="s">
        <v>794</v>
      </c>
      <c r="I292" t="s">
        <v>1141</v>
      </c>
      <c r="J292" t="s">
        <v>94</v>
      </c>
      <c r="K292" t="s">
        <v>1142</v>
      </c>
      <c r="L292">
        <v>949627386</v>
      </c>
      <c r="M292" t="s">
        <v>33</v>
      </c>
      <c r="N292" t="s">
        <v>34</v>
      </c>
      <c r="O292" t="s">
        <v>58</v>
      </c>
      <c r="P292" t="s">
        <v>732</v>
      </c>
      <c r="Q292">
        <v>1081672083</v>
      </c>
      <c r="R292" t="s">
        <v>37</v>
      </c>
      <c r="S292" t="s">
        <v>38</v>
      </c>
      <c r="T292" t="s">
        <v>39</v>
      </c>
      <c r="U292" s="1">
        <v>45991</v>
      </c>
      <c r="W292" s="5">
        <f ca="1">+(TODAY()-Tabla2[[#This Row],[FECHA DE NACIMIENTO]])/360</f>
        <v>128.05833333333334</v>
      </c>
    </row>
    <row r="293" spans="1:23" x14ac:dyDescent="0.45">
      <c r="A293" t="s">
        <v>23</v>
      </c>
      <c r="B293" t="s">
        <v>131</v>
      </c>
      <c r="C293" t="s">
        <v>89</v>
      </c>
      <c r="D293" s="1">
        <v>45866</v>
      </c>
      <c r="E293" t="s">
        <v>1143</v>
      </c>
      <c r="F293" t="s">
        <v>1144</v>
      </c>
      <c r="G293" t="s">
        <v>42</v>
      </c>
      <c r="H293" t="s">
        <v>794</v>
      </c>
      <c r="I293" t="s">
        <v>1145</v>
      </c>
      <c r="J293" t="s">
        <v>31</v>
      </c>
      <c r="K293" t="s">
        <v>1146</v>
      </c>
      <c r="L293">
        <v>961256129</v>
      </c>
      <c r="M293" t="s">
        <v>33</v>
      </c>
      <c r="N293" t="s">
        <v>34</v>
      </c>
      <c r="O293" t="s">
        <v>35</v>
      </c>
      <c r="P293" t="s">
        <v>48</v>
      </c>
      <c r="Q293">
        <v>1952527201</v>
      </c>
      <c r="R293" t="s">
        <v>37</v>
      </c>
      <c r="S293" t="s">
        <v>38</v>
      </c>
      <c r="T293" t="s">
        <v>39</v>
      </c>
      <c r="U293" s="1">
        <v>45991</v>
      </c>
      <c r="W293" s="5">
        <f ca="1">+(TODAY()-Tabla2[[#This Row],[FECHA DE NACIMIENTO]])/360</f>
        <v>128.05833333333334</v>
      </c>
    </row>
    <row r="294" spans="1:23" x14ac:dyDescent="0.45">
      <c r="A294" t="s">
        <v>23</v>
      </c>
      <c r="B294" t="s">
        <v>632</v>
      </c>
      <c r="C294" t="s">
        <v>633</v>
      </c>
      <c r="D294" s="1">
        <v>45866</v>
      </c>
      <c r="E294" t="s">
        <v>1147</v>
      </c>
      <c r="F294" t="s">
        <v>1148</v>
      </c>
      <c r="G294" t="s">
        <v>42</v>
      </c>
      <c r="H294" t="s">
        <v>957</v>
      </c>
      <c r="I294" t="s">
        <v>1149</v>
      </c>
      <c r="J294" t="s">
        <v>204</v>
      </c>
      <c r="K294" t="s">
        <v>1150</v>
      </c>
      <c r="L294">
        <v>973286129</v>
      </c>
      <c r="M294" t="s">
        <v>81</v>
      </c>
      <c r="N294" t="s">
        <v>34</v>
      </c>
      <c r="O294" t="s">
        <v>58</v>
      </c>
      <c r="P294" t="s">
        <v>66</v>
      </c>
      <c r="Q294">
        <v>13284947</v>
      </c>
      <c r="R294" t="s">
        <v>37</v>
      </c>
      <c r="S294" t="s">
        <v>38</v>
      </c>
      <c r="T294" t="s">
        <v>39</v>
      </c>
      <c r="U294" s="1">
        <v>45991</v>
      </c>
      <c r="W294" s="5">
        <f ca="1">+(TODAY()-Tabla2[[#This Row],[FECHA DE NACIMIENTO]])/360</f>
        <v>128.05833333333334</v>
      </c>
    </row>
    <row r="295" spans="1:23" x14ac:dyDescent="0.45">
      <c r="A295" t="s">
        <v>23</v>
      </c>
      <c r="B295" t="s">
        <v>822</v>
      </c>
      <c r="C295" t="s">
        <v>89</v>
      </c>
      <c r="D295" s="1">
        <v>45866</v>
      </c>
      <c r="E295" t="s">
        <v>1151</v>
      </c>
      <c r="F295" t="s">
        <v>1152</v>
      </c>
      <c r="G295" t="s">
        <v>28</v>
      </c>
      <c r="H295" t="s">
        <v>1153</v>
      </c>
      <c r="I295" t="s">
        <v>1154</v>
      </c>
      <c r="J295" t="s">
        <v>204</v>
      </c>
      <c r="K295" t="s">
        <v>1155</v>
      </c>
      <c r="L295">
        <v>56945770787</v>
      </c>
      <c r="M295" t="s">
        <v>33</v>
      </c>
      <c r="N295" t="s">
        <v>34</v>
      </c>
      <c r="O295" t="s">
        <v>58</v>
      </c>
      <c r="P295" t="s">
        <v>732</v>
      </c>
      <c r="Q295">
        <v>1010567442</v>
      </c>
      <c r="R295" t="s">
        <v>37</v>
      </c>
      <c r="S295" t="s">
        <v>137</v>
      </c>
      <c r="T295" t="s">
        <v>74</v>
      </c>
      <c r="U295" s="1">
        <v>45930</v>
      </c>
      <c r="W295" s="5">
        <f ca="1">+(TODAY()-Tabla2[[#This Row],[FECHA DE NACIMIENTO]])/360</f>
        <v>128.05833333333334</v>
      </c>
    </row>
    <row r="296" spans="1:23" x14ac:dyDescent="0.45">
      <c r="A296" t="s">
        <v>23</v>
      </c>
      <c r="B296" t="s">
        <v>822</v>
      </c>
      <c r="C296" t="s">
        <v>89</v>
      </c>
      <c r="D296" s="1">
        <v>45866</v>
      </c>
      <c r="E296" t="s">
        <v>1156</v>
      </c>
      <c r="F296" t="s">
        <v>1157</v>
      </c>
      <c r="G296" t="s">
        <v>42</v>
      </c>
      <c r="H296" t="s">
        <v>1158</v>
      </c>
      <c r="I296" t="s">
        <v>1159</v>
      </c>
      <c r="J296" t="s">
        <v>834</v>
      </c>
      <c r="K296" t="s">
        <v>1160</v>
      </c>
      <c r="L296">
        <v>949067231</v>
      </c>
      <c r="M296" t="s">
        <v>33</v>
      </c>
      <c r="N296" t="s">
        <v>34</v>
      </c>
      <c r="O296" t="s">
        <v>58</v>
      </c>
      <c r="P296" t="s">
        <v>66</v>
      </c>
      <c r="Q296">
        <v>18832990</v>
      </c>
      <c r="R296" t="s">
        <v>37</v>
      </c>
      <c r="S296" t="s">
        <v>137</v>
      </c>
      <c r="T296" t="s">
        <v>74</v>
      </c>
      <c r="U296" s="1">
        <v>45930</v>
      </c>
      <c r="W296" s="5">
        <f ca="1">+(TODAY()-Tabla2[[#This Row],[FECHA DE NACIMIENTO]])/360</f>
        <v>128.05833333333334</v>
      </c>
    </row>
    <row r="297" spans="1:23" x14ac:dyDescent="0.45">
      <c r="A297" t="s">
        <v>23</v>
      </c>
      <c r="B297" t="s">
        <v>125</v>
      </c>
      <c r="C297" t="s">
        <v>89</v>
      </c>
      <c r="D297" s="1">
        <v>45866</v>
      </c>
      <c r="E297" t="s">
        <v>1161</v>
      </c>
      <c r="F297" t="s">
        <v>1162</v>
      </c>
      <c r="G297" t="s">
        <v>28</v>
      </c>
      <c r="H297" t="s">
        <v>327</v>
      </c>
      <c r="I297" t="s">
        <v>1163</v>
      </c>
      <c r="J297" t="s">
        <v>142</v>
      </c>
      <c r="K297" t="s">
        <v>1164</v>
      </c>
      <c r="L297">
        <v>56922312616</v>
      </c>
      <c r="M297" t="s">
        <v>33</v>
      </c>
      <c r="N297" t="s">
        <v>34</v>
      </c>
      <c r="O297" t="s">
        <v>58</v>
      </c>
      <c r="P297" t="s">
        <v>66</v>
      </c>
      <c r="Q297">
        <v>227605510</v>
      </c>
      <c r="R297" t="s">
        <v>37</v>
      </c>
      <c r="S297" t="s">
        <v>38</v>
      </c>
      <c r="T297" t="s">
        <v>39</v>
      </c>
      <c r="W297" s="5">
        <f ca="1">+(TODAY()-Tabla2[[#This Row],[FECHA DE NACIMIENTO]])/360</f>
        <v>128.05833333333334</v>
      </c>
    </row>
    <row r="298" spans="1:23" x14ac:dyDescent="0.45">
      <c r="A298" t="s">
        <v>23</v>
      </c>
      <c r="B298" t="s">
        <v>822</v>
      </c>
      <c r="C298" t="s">
        <v>89</v>
      </c>
      <c r="D298" s="1">
        <v>45866</v>
      </c>
      <c r="E298" t="s">
        <v>1165</v>
      </c>
      <c r="F298" t="s">
        <v>1166</v>
      </c>
      <c r="G298" t="s">
        <v>42</v>
      </c>
      <c r="H298" t="s">
        <v>1121</v>
      </c>
      <c r="I298" t="s">
        <v>1167</v>
      </c>
      <c r="J298" t="s">
        <v>370</v>
      </c>
      <c r="K298" t="s">
        <v>1168</v>
      </c>
      <c r="L298">
        <v>945529942</v>
      </c>
      <c r="M298" t="s">
        <v>33</v>
      </c>
      <c r="N298" t="s">
        <v>34</v>
      </c>
      <c r="O298" t="s">
        <v>35</v>
      </c>
      <c r="P298" t="s">
        <v>96</v>
      </c>
      <c r="Q298">
        <v>75687615</v>
      </c>
      <c r="R298" t="s">
        <v>37</v>
      </c>
      <c r="S298" t="s">
        <v>137</v>
      </c>
      <c r="T298" t="s">
        <v>74</v>
      </c>
      <c r="U298" s="1">
        <v>45930</v>
      </c>
      <c r="W298" s="5">
        <f ca="1">+(TODAY()-Tabla2[[#This Row],[FECHA DE NACIMIENTO]])/360</f>
        <v>128.05833333333334</v>
      </c>
    </row>
    <row r="299" spans="1:23" x14ac:dyDescent="0.45">
      <c r="A299" t="s">
        <v>23</v>
      </c>
      <c r="B299" t="s">
        <v>822</v>
      </c>
      <c r="C299" t="s">
        <v>89</v>
      </c>
      <c r="D299" s="1">
        <v>45866</v>
      </c>
      <c r="E299" t="s">
        <v>1169</v>
      </c>
      <c r="F299" t="s">
        <v>1170</v>
      </c>
      <c r="G299" t="s">
        <v>42</v>
      </c>
      <c r="H299" t="s">
        <v>1171</v>
      </c>
      <c r="I299" t="s">
        <v>1172</v>
      </c>
      <c r="J299" t="s">
        <v>192</v>
      </c>
      <c r="K299" t="s">
        <v>1173</v>
      </c>
      <c r="L299">
        <v>965711828</v>
      </c>
      <c r="M299" t="s">
        <v>81</v>
      </c>
      <c r="N299" t="s">
        <v>34</v>
      </c>
      <c r="O299" t="s">
        <v>58</v>
      </c>
      <c r="P299" t="s">
        <v>66</v>
      </c>
      <c r="Q299">
        <v>13484676</v>
      </c>
      <c r="R299" t="s">
        <v>37</v>
      </c>
      <c r="S299" t="s">
        <v>537</v>
      </c>
      <c r="T299" t="s">
        <v>39</v>
      </c>
      <c r="U299" s="1">
        <v>45930</v>
      </c>
      <c r="W299" s="5">
        <f ca="1">+(TODAY()-Tabla2[[#This Row],[FECHA DE NACIMIENTO]])/360</f>
        <v>128.05833333333334</v>
      </c>
    </row>
    <row r="300" spans="1:23" x14ac:dyDescent="0.45">
      <c r="A300" t="s">
        <v>23</v>
      </c>
      <c r="B300" t="s">
        <v>822</v>
      </c>
      <c r="C300" t="s">
        <v>89</v>
      </c>
      <c r="D300" s="1">
        <v>45866</v>
      </c>
      <c r="E300" t="s">
        <v>1174</v>
      </c>
      <c r="F300" t="s">
        <v>1175</v>
      </c>
      <c r="G300" t="s">
        <v>42</v>
      </c>
      <c r="H300" t="s">
        <v>850</v>
      </c>
      <c r="I300" t="s">
        <v>1176</v>
      </c>
      <c r="J300" t="s">
        <v>834</v>
      </c>
      <c r="K300" t="s">
        <v>1177</v>
      </c>
      <c r="L300">
        <v>953726437</v>
      </c>
      <c r="M300" t="s">
        <v>56</v>
      </c>
      <c r="N300" t="s">
        <v>34</v>
      </c>
      <c r="O300" t="s">
        <v>58</v>
      </c>
      <c r="P300" t="s">
        <v>66</v>
      </c>
      <c r="Q300">
        <v>20647078</v>
      </c>
      <c r="R300" t="s">
        <v>37</v>
      </c>
      <c r="S300" t="s">
        <v>537</v>
      </c>
      <c r="T300" t="s">
        <v>39</v>
      </c>
      <c r="U300" s="1">
        <v>45930</v>
      </c>
      <c r="W300" s="5">
        <f ca="1">+(TODAY()-Tabla2[[#This Row],[FECHA DE NACIMIENTO]])/360</f>
        <v>128.05833333333334</v>
      </c>
    </row>
    <row r="301" spans="1:23" x14ac:dyDescent="0.45">
      <c r="A301" t="s">
        <v>23</v>
      </c>
      <c r="B301" t="s">
        <v>131</v>
      </c>
      <c r="C301" t="s">
        <v>89</v>
      </c>
      <c r="D301" s="1">
        <v>45866</v>
      </c>
      <c r="E301" t="s">
        <v>1178</v>
      </c>
      <c r="F301" t="s">
        <v>1179</v>
      </c>
      <c r="G301" t="s">
        <v>28</v>
      </c>
      <c r="H301" t="s">
        <v>1131</v>
      </c>
      <c r="I301" t="s">
        <v>1180</v>
      </c>
      <c r="J301" t="s">
        <v>259</v>
      </c>
      <c r="K301" t="s">
        <v>1181</v>
      </c>
      <c r="L301">
        <v>942717904</v>
      </c>
      <c r="M301" t="s">
        <v>81</v>
      </c>
      <c r="N301" t="s">
        <v>34</v>
      </c>
      <c r="O301" t="s">
        <v>35</v>
      </c>
      <c r="P301" t="s">
        <v>82</v>
      </c>
      <c r="Q301">
        <v>18800001382</v>
      </c>
      <c r="R301" t="s">
        <v>37</v>
      </c>
      <c r="S301" t="s">
        <v>38</v>
      </c>
      <c r="T301" t="s">
        <v>39</v>
      </c>
      <c r="U301" s="1">
        <v>45991</v>
      </c>
      <c r="W301" s="5">
        <f ca="1">+(TODAY()-Tabla2[[#This Row],[FECHA DE NACIMIENTO]])/360</f>
        <v>128.05833333333334</v>
      </c>
    </row>
    <row r="302" spans="1:23" x14ac:dyDescent="0.45">
      <c r="A302" t="s">
        <v>23</v>
      </c>
      <c r="B302" t="s">
        <v>822</v>
      </c>
      <c r="C302" t="s">
        <v>89</v>
      </c>
      <c r="D302" s="1">
        <v>45866</v>
      </c>
      <c r="E302" t="s">
        <v>1182</v>
      </c>
      <c r="F302" t="s">
        <v>1183</v>
      </c>
      <c r="G302" t="s">
        <v>42</v>
      </c>
      <c r="H302" t="s">
        <v>1184</v>
      </c>
      <c r="I302" t="s">
        <v>1185</v>
      </c>
      <c r="J302" t="s">
        <v>834</v>
      </c>
      <c r="K302" t="s">
        <v>1186</v>
      </c>
      <c r="L302">
        <v>56971614786</v>
      </c>
      <c r="M302" t="s">
        <v>33</v>
      </c>
      <c r="N302" t="s">
        <v>34</v>
      </c>
      <c r="O302" t="s">
        <v>58</v>
      </c>
      <c r="P302" t="s">
        <v>66</v>
      </c>
      <c r="Q302">
        <v>18832851</v>
      </c>
      <c r="R302" t="s">
        <v>37</v>
      </c>
      <c r="S302" t="s">
        <v>537</v>
      </c>
      <c r="T302" t="s">
        <v>39</v>
      </c>
      <c r="U302" s="1">
        <v>45961</v>
      </c>
      <c r="W302" s="5">
        <f ca="1">+(TODAY()-Tabla2[[#This Row],[FECHA DE NACIMIENTO]])/360</f>
        <v>128.05833333333334</v>
      </c>
    </row>
    <row r="303" spans="1:23" x14ac:dyDescent="0.45">
      <c r="A303" t="s">
        <v>23</v>
      </c>
      <c r="B303" t="s">
        <v>131</v>
      </c>
      <c r="C303" t="s">
        <v>89</v>
      </c>
      <c r="D303" s="1">
        <v>45866</v>
      </c>
      <c r="E303" t="s">
        <v>1187</v>
      </c>
      <c r="F303" t="s">
        <v>1188</v>
      </c>
      <c r="G303" t="s">
        <v>42</v>
      </c>
      <c r="H303" t="s">
        <v>1189</v>
      </c>
      <c r="I303" t="s">
        <v>1190</v>
      </c>
      <c r="J303" t="s">
        <v>204</v>
      </c>
      <c r="K303" t="s">
        <v>1191</v>
      </c>
      <c r="L303">
        <v>930716687</v>
      </c>
      <c r="M303" t="s">
        <v>33</v>
      </c>
      <c r="N303" t="s">
        <v>34</v>
      </c>
      <c r="O303" t="s">
        <v>58</v>
      </c>
      <c r="P303" t="s">
        <v>66</v>
      </c>
      <c r="Q303">
        <v>18548691</v>
      </c>
      <c r="R303" t="s">
        <v>37</v>
      </c>
      <c r="S303" t="s">
        <v>137</v>
      </c>
      <c r="T303" t="s">
        <v>74</v>
      </c>
      <c r="U303" s="1">
        <v>45961</v>
      </c>
      <c r="W303" s="5">
        <f ca="1">+(TODAY()-Tabla2[[#This Row],[FECHA DE NACIMIENTO]])/360</f>
        <v>128.05833333333334</v>
      </c>
    </row>
    <row r="304" spans="1:23" x14ac:dyDescent="0.45">
      <c r="A304" t="s">
        <v>23</v>
      </c>
      <c r="B304" t="s">
        <v>822</v>
      </c>
      <c r="C304" t="s">
        <v>89</v>
      </c>
      <c r="D304" s="1">
        <v>45866</v>
      </c>
      <c r="E304" t="s">
        <v>1192</v>
      </c>
      <c r="F304" t="s">
        <v>1193</v>
      </c>
      <c r="G304" t="s">
        <v>42</v>
      </c>
      <c r="H304" t="s">
        <v>1194</v>
      </c>
      <c r="I304" t="s">
        <v>1195</v>
      </c>
      <c r="J304" t="s">
        <v>204</v>
      </c>
      <c r="K304" t="s">
        <v>1196</v>
      </c>
      <c r="L304">
        <v>935927450</v>
      </c>
      <c r="M304" t="s">
        <v>683</v>
      </c>
      <c r="N304" t="s">
        <v>34</v>
      </c>
      <c r="O304" t="s">
        <v>58</v>
      </c>
      <c r="P304" t="s">
        <v>73</v>
      </c>
      <c r="Q304">
        <v>4042534942</v>
      </c>
      <c r="R304" t="s">
        <v>37</v>
      </c>
      <c r="S304" t="s">
        <v>137</v>
      </c>
      <c r="T304" t="s">
        <v>74</v>
      </c>
      <c r="U304" s="1">
        <v>45930</v>
      </c>
      <c r="W304" s="5">
        <f ca="1">+(TODAY()-Tabla2[[#This Row],[FECHA DE NACIMIENTO]])/360</f>
        <v>128.05833333333334</v>
      </c>
    </row>
    <row r="305" spans="1:23" x14ac:dyDescent="0.45">
      <c r="A305" t="s">
        <v>23</v>
      </c>
      <c r="B305" t="s">
        <v>812</v>
      </c>
      <c r="C305" t="s">
        <v>89</v>
      </c>
      <c r="D305" s="1">
        <v>45866</v>
      </c>
      <c r="E305" t="s">
        <v>1197</v>
      </c>
      <c r="F305" t="s">
        <v>1198</v>
      </c>
      <c r="G305" t="s">
        <v>42</v>
      </c>
      <c r="H305" t="s">
        <v>1014</v>
      </c>
      <c r="I305" t="s">
        <v>1199</v>
      </c>
      <c r="J305" t="s">
        <v>142</v>
      </c>
      <c r="K305" t="s">
        <v>1200</v>
      </c>
      <c r="L305">
        <v>965577980</v>
      </c>
      <c r="M305" t="s">
        <v>81</v>
      </c>
      <c r="N305" t="s">
        <v>34</v>
      </c>
      <c r="O305" t="s">
        <v>35</v>
      </c>
      <c r="P305" t="s">
        <v>96</v>
      </c>
      <c r="Q305">
        <v>777914187831</v>
      </c>
      <c r="R305" t="s">
        <v>37</v>
      </c>
      <c r="S305" t="s">
        <v>38</v>
      </c>
      <c r="T305" t="s">
        <v>39</v>
      </c>
      <c r="U305" s="1">
        <v>45930</v>
      </c>
      <c r="W305" s="5">
        <f ca="1">+(TODAY()-Tabla2[[#This Row],[FECHA DE NACIMIENTO]])/360</f>
        <v>128.05833333333334</v>
      </c>
    </row>
    <row r="306" spans="1:23" x14ac:dyDescent="0.45">
      <c r="A306" t="s">
        <v>23</v>
      </c>
      <c r="B306" t="s">
        <v>812</v>
      </c>
      <c r="C306" t="s">
        <v>89</v>
      </c>
      <c r="D306" s="1">
        <v>45866</v>
      </c>
      <c r="E306" t="s">
        <v>1201</v>
      </c>
      <c r="F306" t="s">
        <v>1202</v>
      </c>
      <c r="G306" t="s">
        <v>28</v>
      </c>
      <c r="H306" t="s">
        <v>69</v>
      </c>
      <c r="I306" t="s">
        <v>1203</v>
      </c>
      <c r="J306" t="s">
        <v>31</v>
      </c>
      <c r="K306" t="s">
        <v>1204</v>
      </c>
      <c r="L306">
        <v>939565505</v>
      </c>
      <c r="M306" t="s">
        <v>56</v>
      </c>
      <c r="N306" t="s">
        <v>34</v>
      </c>
      <c r="O306" t="s">
        <v>58</v>
      </c>
      <c r="P306" t="s">
        <v>66</v>
      </c>
      <c r="Q306">
        <v>31570212993</v>
      </c>
      <c r="R306" t="s">
        <v>37</v>
      </c>
      <c r="S306" t="s">
        <v>38</v>
      </c>
      <c r="T306" t="s">
        <v>39</v>
      </c>
      <c r="U306" s="1">
        <v>45930</v>
      </c>
      <c r="W306" s="5">
        <f ca="1">+(TODAY()-Tabla2[[#This Row],[FECHA DE NACIMIENTO]])/360</f>
        <v>128.05833333333334</v>
      </c>
    </row>
    <row r="307" spans="1:23" x14ac:dyDescent="0.45">
      <c r="A307" t="s">
        <v>23</v>
      </c>
      <c r="B307" t="s">
        <v>125</v>
      </c>
      <c r="C307" t="s">
        <v>89</v>
      </c>
      <c r="D307" s="1">
        <v>45866</v>
      </c>
      <c r="E307" t="s">
        <v>1205</v>
      </c>
      <c r="F307" t="s">
        <v>1206</v>
      </c>
      <c r="G307" t="s">
        <v>28</v>
      </c>
      <c r="H307" t="s">
        <v>1207</v>
      </c>
      <c r="I307" t="s">
        <v>1208</v>
      </c>
      <c r="J307" t="s">
        <v>142</v>
      </c>
      <c r="K307" t="s">
        <v>1209</v>
      </c>
      <c r="L307">
        <v>56928712236</v>
      </c>
      <c r="M307" t="s">
        <v>33</v>
      </c>
      <c r="N307" t="s">
        <v>34</v>
      </c>
      <c r="O307" t="s">
        <v>35</v>
      </c>
      <c r="P307" t="s">
        <v>82</v>
      </c>
      <c r="Q307">
        <v>19842377503</v>
      </c>
      <c r="R307" t="s">
        <v>37</v>
      </c>
      <c r="S307" t="s">
        <v>318</v>
      </c>
      <c r="T307" t="s">
        <v>39</v>
      </c>
      <c r="W307" s="5">
        <f ca="1">+(TODAY()-Tabla2[[#This Row],[FECHA DE NACIMIENTO]])/360</f>
        <v>128.05833333333334</v>
      </c>
    </row>
    <row r="308" spans="1:23" x14ac:dyDescent="0.45">
      <c r="A308" t="s">
        <v>23</v>
      </c>
      <c r="B308" t="s">
        <v>822</v>
      </c>
      <c r="C308" t="s">
        <v>89</v>
      </c>
      <c r="D308" s="1">
        <v>45866</v>
      </c>
      <c r="E308" t="s">
        <v>1210</v>
      </c>
      <c r="F308" t="s">
        <v>1211</v>
      </c>
      <c r="G308" t="s">
        <v>42</v>
      </c>
      <c r="H308" t="s">
        <v>1212</v>
      </c>
      <c r="I308" t="s">
        <v>1213</v>
      </c>
      <c r="J308" t="s">
        <v>436</v>
      </c>
      <c r="K308" t="s">
        <v>1214</v>
      </c>
      <c r="L308">
        <v>963266932</v>
      </c>
      <c r="M308" t="s">
        <v>33</v>
      </c>
      <c r="N308" t="s">
        <v>34</v>
      </c>
      <c r="O308" t="s">
        <v>58</v>
      </c>
      <c r="P308" t="s">
        <v>66</v>
      </c>
      <c r="Q308">
        <v>14573251</v>
      </c>
      <c r="R308" t="s">
        <v>37</v>
      </c>
      <c r="S308" t="s">
        <v>137</v>
      </c>
      <c r="T308" t="s">
        <v>74</v>
      </c>
      <c r="U308" s="1">
        <v>45930</v>
      </c>
      <c r="W308" s="5">
        <f ca="1">+(TODAY()-Tabla2[[#This Row],[FECHA DE NACIMIENTO]])/360</f>
        <v>128.05833333333334</v>
      </c>
    </row>
    <row r="309" spans="1:23" x14ac:dyDescent="0.45">
      <c r="A309" t="s">
        <v>23</v>
      </c>
      <c r="B309" t="s">
        <v>822</v>
      </c>
      <c r="C309" t="s">
        <v>89</v>
      </c>
      <c r="D309" s="1">
        <v>45866</v>
      </c>
      <c r="E309" t="s">
        <v>1215</v>
      </c>
      <c r="F309" t="s">
        <v>1216</v>
      </c>
      <c r="G309" t="s">
        <v>28</v>
      </c>
      <c r="H309" t="s">
        <v>1217</v>
      </c>
      <c r="I309" t="s">
        <v>1218</v>
      </c>
      <c r="J309" t="s">
        <v>31</v>
      </c>
      <c r="K309" t="s">
        <v>1219</v>
      </c>
      <c r="L309">
        <v>997000411</v>
      </c>
      <c r="M309" t="s">
        <v>33</v>
      </c>
      <c r="N309" t="s">
        <v>34</v>
      </c>
      <c r="O309" t="s">
        <v>35</v>
      </c>
      <c r="P309" t="s">
        <v>66</v>
      </c>
      <c r="Q309">
        <v>37300034781</v>
      </c>
      <c r="R309" t="s">
        <v>37</v>
      </c>
      <c r="S309" t="s">
        <v>137</v>
      </c>
      <c r="T309" t="s">
        <v>74</v>
      </c>
      <c r="U309" s="1">
        <v>45930</v>
      </c>
      <c r="W309" s="5">
        <f ca="1">+(TODAY()-Tabla2[[#This Row],[FECHA DE NACIMIENTO]])/360</f>
        <v>128.05833333333334</v>
      </c>
    </row>
    <row r="310" spans="1:23" x14ac:dyDescent="0.45">
      <c r="A310" t="s">
        <v>23</v>
      </c>
      <c r="B310" t="s">
        <v>125</v>
      </c>
      <c r="C310" t="s">
        <v>89</v>
      </c>
      <c r="D310" s="1">
        <v>45866</v>
      </c>
      <c r="E310" t="s">
        <v>1220</v>
      </c>
      <c r="F310" t="s">
        <v>1221</v>
      </c>
      <c r="G310" t="s">
        <v>42</v>
      </c>
      <c r="H310" t="s">
        <v>89</v>
      </c>
      <c r="I310" t="s">
        <v>1222</v>
      </c>
      <c r="J310" t="s">
        <v>142</v>
      </c>
      <c r="K310" t="s">
        <v>1223</v>
      </c>
      <c r="L310">
        <v>984117171</v>
      </c>
      <c r="M310" t="s">
        <v>33</v>
      </c>
      <c r="N310" t="s">
        <v>34</v>
      </c>
      <c r="O310" t="s">
        <v>35</v>
      </c>
      <c r="P310" t="s">
        <v>82</v>
      </c>
      <c r="Q310">
        <v>19811826204</v>
      </c>
      <c r="R310" t="s">
        <v>37</v>
      </c>
      <c r="S310" t="s">
        <v>38</v>
      </c>
      <c r="T310" t="s">
        <v>89</v>
      </c>
      <c r="W310" s="5">
        <f ca="1">+(TODAY()-Tabla2[[#This Row],[FECHA DE NACIMIENTO]])/360</f>
        <v>128.05833333333334</v>
      </c>
    </row>
    <row r="311" spans="1:23" x14ac:dyDescent="0.45">
      <c r="A311" t="s">
        <v>23</v>
      </c>
      <c r="B311" t="s">
        <v>812</v>
      </c>
      <c r="C311" t="s">
        <v>89</v>
      </c>
      <c r="D311" s="1">
        <v>45866</v>
      </c>
      <c r="E311" t="s">
        <v>1224</v>
      </c>
      <c r="F311" t="s">
        <v>1225</v>
      </c>
      <c r="G311" t="s">
        <v>42</v>
      </c>
      <c r="H311" t="s">
        <v>1226</v>
      </c>
      <c r="I311" t="s">
        <v>1227</v>
      </c>
      <c r="J311" t="s">
        <v>436</v>
      </c>
      <c r="K311" t="s">
        <v>1228</v>
      </c>
      <c r="L311">
        <v>961637304</v>
      </c>
      <c r="M311" t="s">
        <v>683</v>
      </c>
      <c r="N311" t="s">
        <v>34</v>
      </c>
      <c r="O311" t="s">
        <v>58</v>
      </c>
      <c r="P311" t="s">
        <v>66</v>
      </c>
      <c r="Q311">
        <v>12871353</v>
      </c>
      <c r="R311" t="s">
        <v>37</v>
      </c>
      <c r="S311" t="s">
        <v>38</v>
      </c>
      <c r="T311" t="s">
        <v>39</v>
      </c>
      <c r="U311" s="1">
        <v>45930</v>
      </c>
      <c r="W311" s="5">
        <f ca="1">+(TODAY()-Tabla2[[#This Row],[FECHA DE NACIMIENTO]])/360</f>
        <v>128.05833333333334</v>
      </c>
    </row>
    <row r="312" spans="1:23" x14ac:dyDescent="0.45">
      <c r="A312" t="s">
        <v>23</v>
      </c>
      <c r="B312" t="s">
        <v>131</v>
      </c>
      <c r="C312" t="s">
        <v>89</v>
      </c>
      <c r="D312" s="1">
        <v>45866</v>
      </c>
      <c r="E312" t="s">
        <v>1229</v>
      </c>
      <c r="F312" t="s">
        <v>1230</v>
      </c>
      <c r="G312" t="s">
        <v>42</v>
      </c>
      <c r="H312" t="s">
        <v>69</v>
      </c>
      <c r="I312" t="s">
        <v>1231</v>
      </c>
      <c r="J312" t="s">
        <v>516</v>
      </c>
      <c r="K312" t="s">
        <v>1232</v>
      </c>
      <c r="L312">
        <v>955353636</v>
      </c>
      <c r="M312" t="s">
        <v>57</v>
      </c>
      <c r="N312" t="s">
        <v>33</v>
      </c>
      <c r="O312" t="s">
        <v>58</v>
      </c>
      <c r="P312" t="s">
        <v>66</v>
      </c>
      <c r="Q312">
        <v>26111720</v>
      </c>
      <c r="R312" t="s">
        <v>37</v>
      </c>
      <c r="S312" t="s">
        <v>38</v>
      </c>
      <c r="T312" t="s">
        <v>89</v>
      </c>
      <c r="U312" s="1">
        <v>45930</v>
      </c>
      <c r="W312" s="5">
        <f ca="1">+(TODAY()-Tabla2[[#This Row],[FECHA DE NACIMIENTO]])/360</f>
        <v>128.05833333333334</v>
      </c>
    </row>
    <row r="313" spans="1:23" x14ac:dyDescent="0.45">
      <c r="A313" t="s">
        <v>23</v>
      </c>
      <c r="B313" t="s">
        <v>131</v>
      </c>
      <c r="C313" t="s">
        <v>89</v>
      </c>
      <c r="D313" s="1">
        <v>45866</v>
      </c>
      <c r="E313" t="s">
        <v>1233</v>
      </c>
      <c r="F313" t="s">
        <v>1234</v>
      </c>
      <c r="G313" t="s">
        <v>42</v>
      </c>
      <c r="H313" t="s">
        <v>1235</v>
      </c>
      <c r="I313" t="s">
        <v>1236</v>
      </c>
      <c r="J313" t="s">
        <v>31</v>
      </c>
      <c r="K313" t="s">
        <v>1237</v>
      </c>
      <c r="L313">
        <v>950278524</v>
      </c>
      <c r="M313" t="s">
        <v>57</v>
      </c>
      <c r="N313" t="s">
        <v>33</v>
      </c>
      <c r="O313" t="s">
        <v>35</v>
      </c>
      <c r="P313" t="s">
        <v>48</v>
      </c>
      <c r="Q313">
        <v>301420267</v>
      </c>
      <c r="R313" t="s">
        <v>60</v>
      </c>
      <c r="S313" t="s">
        <v>38</v>
      </c>
      <c r="T313" t="s">
        <v>89</v>
      </c>
      <c r="W313" s="5">
        <f ca="1">+(TODAY()-Tabla2[[#This Row],[FECHA DE NACIMIENTO]])/360</f>
        <v>128.05833333333334</v>
      </c>
    </row>
    <row r="314" spans="1:23" x14ac:dyDescent="0.45">
      <c r="A314" t="s">
        <v>23</v>
      </c>
      <c r="B314" t="s">
        <v>632</v>
      </c>
      <c r="C314" t="s">
        <v>633</v>
      </c>
      <c r="D314" s="1">
        <v>45873</v>
      </c>
      <c r="E314" t="s">
        <v>1238</v>
      </c>
      <c r="F314" t="s">
        <v>1239</v>
      </c>
      <c r="G314" t="s">
        <v>28</v>
      </c>
      <c r="H314" t="s">
        <v>981</v>
      </c>
      <c r="I314" t="s">
        <v>1240</v>
      </c>
      <c r="J314" t="s">
        <v>393</v>
      </c>
      <c r="K314" t="s">
        <v>1241</v>
      </c>
      <c r="L314">
        <v>983272121</v>
      </c>
      <c r="M314" t="s">
        <v>33</v>
      </c>
      <c r="N314" t="s">
        <v>57</v>
      </c>
      <c r="O314" t="s">
        <v>58</v>
      </c>
      <c r="P314" t="s">
        <v>66</v>
      </c>
      <c r="Q314">
        <v>25728060</v>
      </c>
      <c r="R314" t="s">
        <v>60</v>
      </c>
      <c r="S314" t="s">
        <v>38</v>
      </c>
      <c r="T314" t="s">
        <v>39</v>
      </c>
      <c r="W314" s="5">
        <f ca="1">+(TODAY()-Tabla2[[#This Row],[FECHA DE NACIMIENTO]])/360</f>
        <v>128.05833333333334</v>
      </c>
    </row>
    <row r="315" spans="1:23" x14ac:dyDescent="0.45">
      <c r="A315" t="s">
        <v>23</v>
      </c>
      <c r="B315" t="s">
        <v>632</v>
      </c>
      <c r="C315" t="s">
        <v>633</v>
      </c>
      <c r="D315" s="1">
        <v>45873</v>
      </c>
      <c r="E315" t="s">
        <v>1242</v>
      </c>
      <c r="F315" t="s">
        <v>1243</v>
      </c>
      <c r="G315" t="s">
        <v>28</v>
      </c>
      <c r="H315" t="s">
        <v>1244</v>
      </c>
      <c r="I315" t="s">
        <v>1245</v>
      </c>
      <c r="J315" t="s">
        <v>370</v>
      </c>
      <c r="K315" t="s">
        <v>1246</v>
      </c>
      <c r="L315">
        <v>949292599</v>
      </c>
      <c r="M315" t="s">
        <v>56</v>
      </c>
      <c r="N315" t="s">
        <v>34</v>
      </c>
      <c r="O315" t="s">
        <v>58</v>
      </c>
      <c r="P315" t="s">
        <v>66</v>
      </c>
      <c r="Q315">
        <v>15050218</v>
      </c>
      <c r="R315" t="s">
        <v>37</v>
      </c>
      <c r="S315" t="s">
        <v>137</v>
      </c>
      <c r="T315" t="s">
        <v>74</v>
      </c>
      <c r="U315" s="1">
        <v>45930</v>
      </c>
      <c r="W315" s="5">
        <f ca="1">+(TODAY()-Tabla2[[#This Row],[FECHA DE NACIMIENTO]])/360</f>
        <v>128.05833333333334</v>
      </c>
    </row>
    <row r="316" spans="1:23" x14ac:dyDescent="0.45">
      <c r="A316" t="s">
        <v>23</v>
      </c>
      <c r="B316" t="s">
        <v>632</v>
      </c>
      <c r="C316" t="s">
        <v>633</v>
      </c>
      <c r="D316" s="1">
        <v>45876</v>
      </c>
      <c r="E316" t="s">
        <v>1247</v>
      </c>
      <c r="F316" t="s">
        <v>1248</v>
      </c>
      <c r="G316" t="s">
        <v>42</v>
      </c>
      <c r="H316" t="s">
        <v>146</v>
      </c>
      <c r="I316" t="s">
        <v>1249</v>
      </c>
      <c r="J316" t="s">
        <v>570</v>
      </c>
      <c r="K316" t="s">
        <v>1250</v>
      </c>
      <c r="L316">
        <v>964592433</v>
      </c>
      <c r="M316" t="s">
        <v>33</v>
      </c>
      <c r="N316" t="s">
        <v>34</v>
      </c>
      <c r="O316" t="s">
        <v>58</v>
      </c>
      <c r="P316" t="s">
        <v>66</v>
      </c>
      <c r="Q316">
        <v>15897946</v>
      </c>
      <c r="R316" t="s">
        <v>37</v>
      </c>
      <c r="S316" t="s">
        <v>38</v>
      </c>
      <c r="T316" t="s">
        <v>89</v>
      </c>
      <c r="U316" s="1">
        <v>45930</v>
      </c>
      <c r="W316" s="5">
        <f ca="1">+(TODAY()-Tabla2[[#This Row],[FECHA DE NACIMIENTO]])/360</f>
        <v>128.05833333333334</v>
      </c>
    </row>
    <row r="317" spans="1:23" x14ac:dyDescent="0.45">
      <c r="A317" t="s">
        <v>23</v>
      </c>
      <c r="B317" t="s">
        <v>388</v>
      </c>
      <c r="C317" t="s">
        <v>89</v>
      </c>
      <c r="D317" s="1">
        <v>45890</v>
      </c>
      <c r="E317" t="s">
        <v>1251</v>
      </c>
      <c r="F317" t="s">
        <v>1252</v>
      </c>
      <c r="G317" t="s">
        <v>28</v>
      </c>
      <c r="H317" t="s">
        <v>1253</v>
      </c>
      <c r="I317" t="s">
        <v>1254</v>
      </c>
      <c r="J317" t="s">
        <v>1255</v>
      </c>
      <c r="K317" t="s">
        <v>1256</v>
      </c>
      <c r="L317">
        <v>985814194</v>
      </c>
      <c r="M317" t="s">
        <v>33</v>
      </c>
      <c r="N317" t="s">
        <v>34</v>
      </c>
      <c r="O317" t="s">
        <v>58</v>
      </c>
      <c r="P317" t="s">
        <v>732</v>
      </c>
      <c r="Q317">
        <v>1017476301</v>
      </c>
      <c r="R317" t="s">
        <v>60</v>
      </c>
      <c r="S317" t="s">
        <v>137</v>
      </c>
      <c r="T317" t="s">
        <v>74</v>
      </c>
      <c r="W317" s="5">
        <f ca="1">+(TODAY()-Tabla2[[#This Row],[FECHA DE NACIMIENTO]])/360</f>
        <v>128.05833333333334</v>
      </c>
    </row>
    <row r="318" spans="1:23" x14ac:dyDescent="0.45">
      <c r="A318" t="s">
        <v>23</v>
      </c>
      <c r="B318" t="s">
        <v>125</v>
      </c>
      <c r="C318" t="s">
        <v>89</v>
      </c>
      <c r="D318" s="1">
        <v>45890</v>
      </c>
      <c r="E318" t="s">
        <v>1257</v>
      </c>
      <c r="F318" t="s">
        <v>1258</v>
      </c>
      <c r="G318" t="s">
        <v>42</v>
      </c>
      <c r="H318" t="s">
        <v>368</v>
      </c>
      <c r="I318" t="s">
        <v>1259</v>
      </c>
      <c r="J318" t="s">
        <v>142</v>
      </c>
      <c r="K318" t="s">
        <v>1260</v>
      </c>
      <c r="L318">
        <v>56997347364</v>
      </c>
      <c r="M318" t="s">
        <v>33</v>
      </c>
      <c r="N318" t="s">
        <v>34</v>
      </c>
      <c r="O318" t="s">
        <v>58</v>
      </c>
      <c r="P318" t="s">
        <v>66</v>
      </c>
      <c r="Q318">
        <v>19879382</v>
      </c>
      <c r="R318" t="s">
        <v>37</v>
      </c>
      <c r="S318" t="s">
        <v>537</v>
      </c>
      <c r="T318" t="s">
        <v>39</v>
      </c>
      <c r="U318" s="1">
        <v>45930</v>
      </c>
      <c r="W318" s="5">
        <f ca="1">+(TODAY()-Tabla2[[#This Row],[FECHA DE NACIMIENTO]])/360</f>
        <v>128.05833333333334</v>
      </c>
    </row>
    <row r="319" spans="1:23" x14ac:dyDescent="0.45">
      <c r="A319" t="s">
        <v>23</v>
      </c>
      <c r="B319" t="s">
        <v>125</v>
      </c>
      <c r="C319" t="s">
        <v>89</v>
      </c>
      <c r="D319" s="1">
        <v>45890</v>
      </c>
      <c r="E319" t="s">
        <v>1261</v>
      </c>
      <c r="F319" t="s">
        <v>1262</v>
      </c>
      <c r="G319" t="s">
        <v>42</v>
      </c>
      <c r="H319" t="s">
        <v>1263</v>
      </c>
      <c r="I319" t="s">
        <v>1264</v>
      </c>
      <c r="J319" t="s">
        <v>165</v>
      </c>
      <c r="K319" t="s">
        <v>1265</v>
      </c>
      <c r="L319">
        <v>940591280</v>
      </c>
      <c r="M319" t="s">
        <v>33</v>
      </c>
      <c r="N319" t="s">
        <v>34</v>
      </c>
      <c r="O319" t="s">
        <v>58</v>
      </c>
      <c r="P319" t="s">
        <v>66</v>
      </c>
      <c r="Q319">
        <v>22209914</v>
      </c>
      <c r="R319" t="s">
        <v>37</v>
      </c>
      <c r="S319" t="s">
        <v>537</v>
      </c>
      <c r="T319" t="s">
        <v>39</v>
      </c>
      <c r="U319" s="1">
        <v>45930</v>
      </c>
      <c r="W319" s="5">
        <f ca="1">+(TODAY()-Tabla2[[#This Row],[FECHA DE NACIMIENTO]])/360</f>
        <v>128.05833333333334</v>
      </c>
    </row>
    <row r="320" spans="1:23" x14ac:dyDescent="0.45">
      <c r="A320" t="s">
        <v>1266</v>
      </c>
      <c r="B320" t="s">
        <v>1267</v>
      </c>
      <c r="C320" t="s">
        <v>89</v>
      </c>
      <c r="D320" s="2">
        <v>45890.601817129631</v>
      </c>
      <c r="E320" t="s">
        <v>1268</v>
      </c>
      <c r="F320" t="s">
        <v>1269</v>
      </c>
      <c r="G320" t="s">
        <v>42</v>
      </c>
      <c r="H320" t="s">
        <v>1270</v>
      </c>
      <c r="I320" t="s">
        <v>1271</v>
      </c>
      <c r="J320" t="s">
        <v>142</v>
      </c>
      <c r="K320" t="s">
        <v>1272</v>
      </c>
      <c r="L320">
        <v>56982281253</v>
      </c>
      <c r="M320" t="s">
        <v>33</v>
      </c>
      <c r="N320" t="s">
        <v>34</v>
      </c>
      <c r="O320" t="s">
        <v>58</v>
      </c>
      <c r="P320" t="s">
        <v>48</v>
      </c>
      <c r="Q320">
        <v>100123125</v>
      </c>
      <c r="R320" t="s">
        <v>37</v>
      </c>
      <c r="S320" t="s">
        <v>38</v>
      </c>
      <c r="T320" t="s">
        <v>39</v>
      </c>
      <c r="U320" s="1">
        <v>45991</v>
      </c>
      <c r="W320" s="5">
        <f ca="1">+(TODAY()-Tabla2[[#This Row],[FECHA DE NACIMIENTO]])/360</f>
        <v>128.05833333333334</v>
      </c>
    </row>
    <row r="321" spans="1:23" x14ac:dyDescent="0.45">
      <c r="A321" t="s">
        <v>119</v>
      </c>
      <c r="B321" t="s">
        <v>120</v>
      </c>
      <c r="C321" t="s">
        <v>121</v>
      </c>
      <c r="D321" s="2">
        <v>45890.601990740739</v>
      </c>
      <c r="E321" t="s">
        <v>1273</v>
      </c>
      <c r="F321" t="s">
        <v>1274</v>
      </c>
      <c r="G321" t="s">
        <v>28</v>
      </c>
      <c r="H321" t="s">
        <v>1275</v>
      </c>
      <c r="I321" t="s">
        <v>1276</v>
      </c>
      <c r="J321" t="s">
        <v>54</v>
      </c>
      <c r="K321" t="s">
        <v>1277</v>
      </c>
      <c r="L321">
        <v>985890341</v>
      </c>
      <c r="M321" t="s">
        <v>56</v>
      </c>
      <c r="N321" t="s">
        <v>34</v>
      </c>
      <c r="O321" t="s">
        <v>35</v>
      </c>
      <c r="P321" t="s">
        <v>82</v>
      </c>
      <c r="Q321">
        <v>19991841920</v>
      </c>
      <c r="R321" t="s">
        <v>37</v>
      </c>
      <c r="S321" t="s">
        <v>38</v>
      </c>
      <c r="T321" t="s">
        <v>39</v>
      </c>
      <c r="U321" s="1">
        <v>45991</v>
      </c>
      <c r="W321" s="5">
        <f ca="1">+(TODAY()-Tabla2[[#This Row],[FECHA DE NACIMIENTO]])/360</f>
        <v>128.05833333333334</v>
      </c>
    </row>
    <row r="322" spans="1:23" x14ac:dyDescent="0.45">
      <c r="A322" t="s">
        <v>1266</v>
      </c>
      <c r="B322" t="s">
        <v>1267</v>
      </c>
      <c r="C322" t="s">
        <v>25</v>
      </c>
      <c r="D322" s="2">
        <v>45890.602986111109</v>
      </c>
      <c r="E322" t="s">
        <v>1278</v>
      </c>
      <c r="F322" t="s">
        <v>1279</v>
      </c>
      <c r="G322" t="s">
        <v>28</v>
      </c>
      <c r="H322" t="s">
        <v>1280</v>
      </c>
      <c r="I322" t="s">
        <v>1281</v>
      </c>
      <c r="J322" t="s">
        <v>638</v>
      </c>
      <c r="K322" t="s">
        <v>1282</v>
      </c>
      <c r="L322">
        <v>999490327</v>
      </c>
      <c r="M322" t="s">
        <v>81</v>
      </c>
      <c r="N322" t="s">
        <v>34</v>
      </c>
      <c r="O322" t="s">
        <v>35</v>
      </c>
      <c r="P322" t="s">
        <v>96</v>
      </c>
      <c r="Q322">
        <v>777909221743</v>
      </c>
      <c r="R322" t="s">
        <v>37</v>
      </c>
      <c r="S322" t="s">
        <v>38</v>
      </c>
      <c r="T322" t="s">
        <v>39</v>
      </c>
      <c r="U322" s="1">
        <v>45991</v>
      </c>
      <c r="W322" s="5">
        <f ca="1">+(TODAY()-Tabla2[[#This Row],[FECHA DE NACIMIENTO]])/360</f>
        <v>128.05833333333334</v>
      </c>
    </row>
    <row r="323" spans="1:23" x14ac:dyDescent="0.45">
      <c r="A323" t="s">
        <v>1266</v>
      </c>
      <c r="B323" t="s">
        <v>1267</v>
      </c>
      <c r="C323" t="s">
        <v>25</v>
      </c>
      <c r="D323" s="2">
        <v>45890.603726851848</v>
      </c>
      <c r="E323" t="s">
        <v>1283</v>
      </c>
      <c r="F323" t="s">
        <v>1284</v>
      </c>
      <c r="G323" t="s">
        <v>42</v>
      </c>
      <c r="H323" t="s">
        <v>1285</v>
      </c>
      <c r="I323" t="s">
        <v>1286</v>
      </c>
      <c r="J323" t="s">
        <v>259</v>
      </c>
      <c r="K323" t="s">
        <v>1287</v>
      </c>
      <c r="L323">
        <v>56999025809</v>
      </c>
      <c r="M323" t="s">
        <v>56</v>
      </c>
      <c r="N323" t="s">
        <v>57</v>
      </c>
      <c r="O323" t="s">
        <v>35</v>
      </c>
      <c r="P323" t="s">
        <v>96</v>
      </c>
      <c r="Q323">
        <v>21281572</v>
      </c>
      <c r="R323" t="s">
        <v>37</v>
      </c>
      <c r="S323" t="s">
        <v>38</v>
      </c>
      <c r="T323" t="s">
        <v>39</v>
      </c>
      <c r="U323" s="1">
        <v>45991</v>
      </c>
      <c r="W323" s="5">
        <f ca="1">+(TODAY()-Tabla2[[#This Row],[FECHA DE NACIMIENTO]])/360</f>
        <v>128.05833333333334</v>
      </c>
    </row>
    <row r="324" spans="1:23" x14ac:dyDescent="0.45">
      <c r="A324" t="s">
        <v>23</v>
      </c>
      <c r="B324" t="s">
        <v>659</v>
      </c>
      <c r="C324" t="s">
        <v>89</v>
      </c>
      <c r="D324" s="1">
        <v>46042</v>
      </c>
      <c r="E324" t="s">
        <v>1288</v>
      </c>
      <c r="F324" t="s">
        <v>1289</v>
      </c>
      <c r="G324" t="s">
        <v>42</v>
      </c>
      <c r="H324" t="s">
        <v>1290</v>
      </c>
      <c r="I324" t="s">
        <v>1291</v>
      </c>
      <c r="J324" t="s">
        <v>370</v>
      </c>
      <c r="K324" t="s">
        <v>1292</v>
      </c>
      <c r="L324">
        <v>966882283</v>
      </c>
      <c r="M324" t="s">
        <v>33</v>
      </c>
      <c r="N324" t="s">
        <v>34</v>
      </c>
      <c r="O324" t="s">
        <v>35</v>
      </c>
      <c r="P324" t="s">
        <v>82</v>
      </c>
      <c r="Q324">
        <v>198017310008</v>
      </c>
      <c r="R324" t="s">
        <v>37</v>
      </c>
      <c r="S324" t="s">
        <v>38</v>
      </c>
      <c r="T324" t="s">
        <v>39</v>
      </c>
      <c r="U324" s="1">
        <v>46022</v>
      </c>
      <c r="W324" s="5">
        <f ca="1">+(TODAY()-Tabla2[[#This Row],[FECHA DE NACIMIENTO]])/360</f>
        <v>128.05833333333334</v>
      </c>
    </row>
    <row r="325" spans="1:23" x14ac:dyDescent="0.45">
      <c r="A325" t="s">
        <v>23</v>
      </c>
      <c r="B325" t="s">
        <v>125</v>
      </c>
      <c r="C325" t="s">
        <v>89</v>
      </c>
      <c r="D325" s="1">
        <v>45896</v>
      </c>
      <c r="E325" t="s">
        <v>1293</v>
      </c>
      <c r="F325" t="s">
        <v>1294</v>
      </c>
      <c r="G325" t="s">
        <v>28</v>
      </c>
      <c r="H325" t="s">
        <v>1109</v>
      </c>
      <c r="I325" t="s">
        <v>1295</v>
      </c>
      <c r="J325" t="s">
        <v>516</v>
      </c>
      <c r="K325" t="s">
        <v>1296</v>
      </c>
      <c r="L325">
        <v>56951792301</v>
      </c>
      <c r="M325" t="s">
        <v>56</v>
      </c>
      <c r="N325" t="s">
        <v>34</v>
      </c>
      <c r="O325" t="s">
        <v>58</v>
      </c>
      <c r="P325" t="s">
        <v>48</v>
      </c>
      <c r="Q325">
        <v>150215167</v>
      </c>
      <c r="R325" t="s">
        <v>37</v>
      </c>
      <c r="S325" t="s">
        <v>537</v>
      </c>
      <c r="T325" t="s">
        <v>39</v>
      </c>
      <c r="U325" s="1">
        <v>45930</v>
      </c>
      <c r="W325" s="5">
        <f ca="1">+(TODAY()-Tabla2[[#This Row],[FECHA DE NACIMIENTO]])/360</f>
        <v>128.05833333333334</v>
      </c>
    </row>
    <row r="326" spans="1:23" x14ac:dyDescent="0.45">
      <c r="A326" t="s">
        <v>23</v>
      </c>
      <c r="B326" t="s">
        <v>125</v>
      </c>
      <c r="C326" t="s">
        <v>89</v>
      </c>
      <c r="D326" s="1">
        <v>45896</v>
      </c>
      <c r="E326" t="s">
        <v>1297</v>
      </c>
      <c r="F326" t="s">
        <v>1298</v>
      </c>
      <c r="G326" t="s">
        <v>28</v>
      </c>
      <c r="H326" t="s">
        <v>1299</v>
      </c>
      <c r="I326" t="s">
        <v>1300</v>
      </c>
      <c r="J326" t="s">
        <v>204</v>
      </c>
      <c r="K326" t="s">
        <v>1301</v>
      </c>
      <c r="L326">
        <v>982718739</v>
      </c>
      <c r="M326" t="s">
        <v>33</v>
      </c>
      <c r="N326" t="s">
        <v>34</v>
      </c>
      <c r="O326" t="s">
        <v>35</v>
      </c>
      <c r="P326" t="s">
        <v>66</v>
      </c>
      <c r="Q326">
        <v>34700096469</v>
      </c>
      <c r="R326" t="s">
        <v>37</v>
      </c>
      <c r="S326" t="s">
        <v>318</v>
      </c>
      <c r="T326" t="s">
        <v>39</v>
      </c>
      <c r="U326" s="1">
        <v>45930</v>
      </c>
      <c r="W326" s="5">
        <f ca="1">+(TODAY()-Tabla2[[#This Row],[FECHA DE NACIMIENTO]])/360</f>
        <v>128.05833333333334</v>
      </c>
    </row>
    <row r="327" spans="1:23" x14ac:dyDescent="0.45">
      <c r="A327" t="s">
        <v>23</v>
      </c>
      <c r="B327" t="s">
        <v>125</v>
      </c>
      <c r="C327" t="s">
        <v>89</v>
      </c>
      <c r="D327" s="1">
        <v>45896</v>
      </c>
      <c r="E327" t="s">
        <v>1302</v>
      </c>
      <c r="F327" t="s">
        <v>1303</v>
      </c>
      <c r="G327" t="s">
        <v>28</v>
      </c>
      <c r="H327" t="s">
        <v>1304</v>
      </c>
      <c r="I327" t="s">
        <v>1305</v>
      </c>
      <c r="J327" t="s">
        <v>142</v>
      </c>
      <c r="K327" t="s">
        <v>1306</v>
      </c>
      <c r="L327">
        <v>56966098535</v>
      </c>
      <c r="M327" t="s">
        <v>56</v>
      </c>
      <c r="N327" t="s">
        <v>34</v>
      </c>
      <c r="O327" t="s">
        <v>35</v>
      </c>
      <c r="P327" t="s">
        <v>82</v>
      </c>
      <c r="Q327">
        <v>50490005550</v>
      </c>
      <c r="R327" t="s">
        <v>37</v>
      </c>
      <c r="S327" t="s">
        <v>537</v>
      </c>
      <c r="T327" t="s">
        <v>39</v>
      </c>
      <c r="U327" s="1">
        <v>45930</v>
      </c>
      <c r="W327" s="5">
        <f ca="1">+(TODAY()-Tabla2[[#This Row],[FECHA DE NACIMIENTO]])/360</f>
        <v>128.05833333333334</v>
      </c>
    </row>
    <row r="328" spans="1:23" x14ac:dyDescent="0.45">
      <c r="A328" t="s">
        <v>23</v>
      </c>
      <c r="B328" t="s">
        <v>812</v>
      </c>
      <c r="C328" t="s">
        <v>89</v>
      </c>
      <c r="D328" s="1">
        <v>45896</v>
      </c>
      <c r="E328" t="s">
        <v>1307</v>
      </c>
      <c r="F328" t="s">
        <v>1308</v>
      </c>
      <c r="G328" t="s">
        <v>28</v>
      </c>
      <c r="H328" t="s">
        <v>1014</v>
      </c>
      <c r="I328" t="s">
        <v>1309</v>
      </c>
      <c r="J328" t="s">
        <v>31</v>
      </c>
      <c r="K328" t="s">
        <v>1310</v>
      </c>
      <c r="L328">
        <v>988683798</v>
      </c>
      <c r="M328" t="s">
        <v>81</v>
      </c>
      <c r="N328" t="s">
        <v>34</v>
      </c>
      <c r="O328" t="s">
        <v>58</v>
      </c>
      <c r="P328" t="s">
        <v>66</v>
      </c>
      <c r="Q328">
        <v>9834584</v>
      </c>
      <c r="R328" t="s">
        <v>37</v>
      </c>
      <c r="S328" t="s">
        <v>38</v>
      </c>
      <c r="T328" t="s">
        <v>39</v>
      </c>
      <c r="U328" s="1">
        <v>45930</v>
      </c>
      <c r="W328" s="5">
        <f ca="1">+(TODAY()-Tabla2[[#This Row],[FECHA DE NACIMIENTO]])/360</f>
        <v>128.05833333333334</v>
      </c>
    </row>
    <row r="329" spans="1:23" x14ac:dyDescent="0.45">
      <c r="A329" t="s">
        <v>23</v>
      </c>
      <c r="B329" t="s">
        <v>24</v>
      </c>
      <c r="C329" t="s">
        <v>25</v>
      </c>
      <c r="D329" s="1">
        <v>45896</v>
      </c>
      <c r="E329" t="s">
        <v>1311</v>
      </c>
      <c r="F329" t="s">
        <v>1312</v>
      </c>
      <c r="G329" t="s">
        <v>42</v>
      </c>
      <c r="H329" t="s">
        <v>156</v>
      </c>
      <c r="I329" t="s">
        <v>1313</v>
      </c>
      <c r="J329" t="s">
        <v>142</v>
      </c>
      <c r="K329" t="s">
        <v>1314</v>
      </c>
      <c r="L329">
        <v>934327504</v>
      </c>
      <c r="M329" t="s">
        <v>81</v>
      </c>
      <c r="N329" t="s">
        <v>34</v>
      </c>
      <c r="O329" t="s">
        <v>35</v>
      </c>
      <c r="P329" t="s">
        <v>82</v>
      </c>
      <c r="Q329">
        <v>19810366455</v>
      </c>
      <c r="R329" t="s">
        <v>60</v>
      </c>
      <c r="S329" t="s">
        <v>38</v>
      </c>
      <c r="T329" t="s">
        <v>39</v>
      </c>
      <c r="W329" s="5">
        <f ca="1">+(TODAY()-Tabla2[[#This Row],[FECHA DE NACIMIENTO]])/360</f>
        <v>128.05833333333334</v>
      </c>
    </row>
    <row r="330" spans="1:23" x14ac:dyDescent="0.45">
      <c r="A330" t="s">
        <v>23</v>
      </c>
      <c r="B330" t="s">
        <v>125</v>
      </c>
      <c r="C330" t="s">
        <v>89</v>
      </c>
      <c r="D330" s="1">
        <v>45896</v>
      </c>
      <c r="E330" t="s">
        <v>1315</v>
      </c>
      <c r="F330" t="s">
        <v>1316</v>
      </c>
      <c r="G330" t="s">
        <v>28</v>
      </c>
      <c r="H330" t="s">
        <v>1317</v>
      </c>
      <c r="I330" t="s">
        <v>1318</v>
      </c>
      <c r="J330" t="s">
        <v>638</v>
      </c>
      <c r="K330" t="s">
        <v>1319</v>
      </c>
      <c r="L330">
        <v>56923663669</v>
      </c>
      <c r="M330" t="s">
        <v>33</v>
      </c>
      <c r="N330" t="s">
        <v>34</v>
      </c>
      <c r="O330" t="s">
        <v>35</v>
      </c>
      <c r="P330" t="s">
        <v>66</v>
      </c>
      <c r="Q330">
        <v>100290766</v>
      </c>
      <c r="R330" t="s">
        <v>37</v>
      </c>
      <c r="S330" t="s">
        <v>537</v>
      </c>
      <c r="T330" t="s">
        <v>39</v>
      </c>
      <c r="U330" s="1">
        <v>45930</v>
      </c>
      <c r="W330" s="5">
        <f ca="1">+(TODAY()-Tabla2[[#This Row],[FECHA DE NACIMIENTO]])/360</f>
        <v>128.05833333333334</v>
      </c>
    </row>
    <row r="331" spans="1:23" x14ac:dyDescent="0.45">
      <c r="A331" t="s">
        <v>23</v>
      </c>
      <c r="B331" t="s">
        <v>388</v>
      </c>
      <c r="C331" t="s">
        <v>89</v>
      </c>
      <c r="D331" s="1">
        <v>45896</v>
      </c>
      <c r="E331" t="s">
        <v>1320</v>
      </c>
      <c r="F331" t="s">
        <v>1321</v>
      </c>
      <c r="G331" t="s">
        <v>42</v>
      </c>
      <c r="H331" t="s">
        <v>1086</v>
      </c>
      <c r="I331" t="s">
        <v>1322</v>
      </c>
      <c r="J331" t="s">
        <v>31</v>
      </c>
      <c r="K331" t="s">
        <v>1323</v>
      </c>
      <c r="L331">
        <v>996814372</v>
      </c>
      <c r="M331" t="s">
        <v>33</v>
      </c>
      <c r="N331" t="s">
        <v>34</v>
      </c>
      <c r="O331" t="s">
        <v>58</v>
      </c>
      <c r="P331" t="s">
        <v>66</v>
      </c>
      <c r="Q331">
        <v>11677089</v>
      </c>
      <c r="R331" t="s">
        <v>37</v>
      </c>
      <c r="S331" t="s">
        <v>38</v>
      </c>
      <c r="T331" t="s">
        <v>74</v>
      </c>
      <c r="U331" s="1">
        <v>45930</v>
      </c>
      <c r="W331" s="5">
        <f ca="1">+(TODAY()-Tabla2[[#This Row],[FECHA DE NACIMIENTO]])/360</f>
        <v>128.05833333333334</v>
      </c>
    </row>
    <row r="332" spans="1:23" x14ac:dyDescent="0.45">
      <c r="A332" t="s">
        <v>23</v>
      </c>
      <c r="B332" t="s">
        <v>388</v>
      </c>
      <c r="C332" t="s">
        <v>89</v>
      </c>
      <c r="D332" s="1">
        <v>45896</v>
      </c>
      <c r="E332" t="s">
        <v>1324</v>
      </c>
      <c r="F332" t="s">
        <v>1325</v>
      </c>
      <c r="G332" t="s">
        <v>42</v>
      </c>
      <c r="H332" t="s">
        <v>163</v>
      </c>
      <c r="I332" t="s">
        <v>1326</v>
      </c>
      <c r="J332" t="s">
        <v>142</v>
      </c>
      <c r="K332" t="s">
        <v>1327</v>
      </c>
      <c r="L332">
        <v>936554573</v>
      </c>
      <c r="M332" t="s">
        <v>33</v>
      </c>
      <c r="N332" t="s">
        <v>34</v>
      </c>
      <c r="O332" t="s">
        <v>58</v>
      </c>
      <c r="P332" t="s">
        <v>66</v>
      </c>
      <c r="Q332">
        <v>16647721</v>
      </c>
      <c r="R332" t="s">
        <v>60</v>
      </c>
      <c r="S332" t="s">
        <v>38</v>
      </c>
      <c r="T332" t="s">
        <v>39</v>
      </c>
      <c r="W332" s="5">
        <f ca="1">+(TODAY()-Tabla2[[#This Row],[FECHA DE NACIMIENTO]])/360</f>
        <v>128.05833333333334</v>
      </c>
    </row>
    <row r="333" spans="1:23" x14ac:dyDescent="0.45">
      <c r="A333" t="s">
        <v>23</v>
      </c>
      <c r="B333" t="s">
        <v>388</v>
      </c>
      <c r="C333" t="s">
        <v>89</v>
      </c>
      <c r="D333" s="1">
        <v>45896</v>
      </c>
      <c r="E333" t="s">
        <v>1328</v>
      </c>
      <c r="F333" t="s">
        <v>1329</v>
      </c>
      <c r="G333" t="s">
        <v>28</v>
      </c>
      <c r="H333" t="s">
        <v>69</v>
      </c>
      <c r="I333" t="s">
        <v>1330</v>
      </c>
      <c r="J333" t="s">
        <v>834</v>
      </c>
      <c r="K333" t="s">
        <v>1331</v>
      </c>
      <c r="L333">
        <v>927137518</v>
      </c>
      <c r="M333" t="s">
        <v>33</v>
      </c>
      <c r="N333" t="s">
        <v>34</v>
      </c>
      <c r="O333" t="s">
        <v>58</v>
      </c>
      <c r="P333" t="s">
        <v>732</v>
      </c>
      <c r="Q333">
        <v>1007209322</v>
      </c>
      <c r="R333" t="s">
        <v>37</v>
      </c>
      <c r="S333" t="s">
        <v>537</v>
      </c>
      <c r="T333" t="s">
        <v>39</v>
      </c>
      <c r="U333" s="1">
        <v>45991</v>
      </c>
      <c r="W333" s="5">
        <f ca="1">+(TODAY()-Tabla2[[#This Row],[FECHA DE NACIMIENTO]])/360</f>
        <v>128.05833333333334</v>
      </c>
    </row>
    <row r="334" spans="1:23" x14ac:dyDescent="0.45">
      <c r="A334" t="s">
        <v>23</v>
      </c>
      <c r="B334" t="s">
        <v>388</v>
      </c>
      <c r="C334" t="s">
        <v>89</v>
      </c>
      <c r="D334" s="1">
        <v>45896</v>
      </c>
      <c r="E334" t="s">
        <v>1332</v>
      </c>
      <c r="F334" t="s">
        <v>1333</v>
      </c>
      <c r="G334" t="s">
        <v>42</v>
      </c>
      <c r="H334" t="s">
        <v>1334</v>
      </c>
      <c r="I334" t="s">
        <v>1335</v>
      </c>
      <c r="J334" t="s">
        <v>834</v>
      </c>
      <c r="K334" t="s">
        <v>1336</v>
      </c>
      <c r="L334">
        <v>935032860</v>
      </c>
      <c r="M334" t="s">
        <v>33</v>
      </c>
      <c r="N334" t="s">
        <v>34</v>
      </c>
      <c r="O334" t="s">
        <v>58</v>
      </c>
      <c r="P334" t="s">
        <v>732</v>
      </c>
      <c r="Q334">
        <v>1068316605</v>
      </c>
      <c r="R334" t="s">
        <v>37</v>
      </c>
      <c r="S334" t="s">
        <v>537</v>
      </c>
      <c r="T334" t="s">
        <v>39</v>
      </c>
      <c r="U334" s="1">
        <v>45991</v>
      </c>
      <c r="W334" s="5">
        <f ca="1">+(TODAY()-Tabla2[[#This Row],[FECHA DE NACIMIENTO]])/360</f>
        <v>128.05833333333334</v>
      </c>
    </row>
    <row r="335" spans="1:23" x14ac:dyDescent="0.45">
      <c r="A335" t="s">
        <v>23</v>
      </c>
      <c r="B335" t="s">
        <v>388</v>
      </c>
      <c r="C335" t="s">
        <v>89</v>
      </c>
      <c r="D335" s="1">
        <v>45896</v>
      </c>
      <c r="E335" t="s">
        <v>1337</v>
      </c>
      <c r="F335" t="s">
        <v>1338</v>
      </c>
      <c r="G335" t="s">
        <v>42</v>
      </c>
      <c r="H335" t="s">
        <v>1285</v>
      </c>
      <c r="I335" t="s">
        <v>1339</v>
      </c>
      <c r="J335" t="s">
        <v>142</v>
      </c>
      <c r="K335" t="s">
        <v>1340</v>
      </c>
      <c r="L335">
        <v>56966309836</v>
      </c>
      <c r="M335" t="s">
        <v>33</v>
      </c>
      <c r="N335" t="s">
        <v>34</v>
      </c>
      <c r="O335" t="s">
        <v>58</v>
      </c>
      <c r="P335" t="s">
        <v>66</v>
      </c>
      <c r="Q335">
        <v>18276829</v>
      </c>
      <c r="R335" t="s">
        <v>37</v>
      </c>
      <c r="S335" t="s">
        <v>38</v>
      </c>
      <c r="T335" t="s">
        <v>39</v>
      </c>
      <c r="W335" s="5">
        <f ca="1">+(TODAY()-Tabla2[[#This Row],[FECHA DE NACIMIENTO]])/360</f>
        <v>128.05833333333334</v>
      </c>
    </row>
    <row r="336" spans="1:23" x14ac:dyDescent="0.45">
      <c r="A336" t="s">
        <v>23</v>
      </c>
      <c r="B336" t="s">
        <v>388</v>
      </c>
      <c r="C336" t="s">
        <v>89</v>
      </c>
      <c r="D336" s="1">
        <v>45896</v>
      </c>
      <c r="E336" t="s">
        <v>1341</v>
      </c>
      <c r="F336" t="s">
        <v>1342</v>
      </c>
      <c r="G336" t="s">
        <v>42</v>
      </c>
      <c r="H336" t="s">
        <v>146</v>
      </c>
      <c r="I336" t="s">
        <v>1343</v>
      </c>
      <c r="J336" t="s">
        <v>393</v>
      </c>
      <c r="K336" t="s">
        <v>1344</v>
      </c>
      <c r="L336">
        <v>934657269</v>
      </c>
      <c r="M336" t="s">
        <v>33</v>
      </c>
      <c r="N336" t="s">
        <v>34</v>
      </c>
      <c r="O336" t="s">
        <v>58</v>
      </c>
      <c r="P336" t="s">
        <v>66</v>
      </c>
      <c r="Q336">
        <v>10323847</v>
      </c>
      <c r="R336" t="s">
        <v>37</v>
      </c>
      <c r="S336" t="s">
        <v>38</v>
      </c>
      <c r="T336" t="s">
        <v>39</v>
      </c>
      <c r="U336" s="1">
        <v>45991</v>
      </c>
      <c r="W336" s="5">
        <f ca="1">+(TODAY()-Tabla2[[#This Row],[FECHA DE NACIMIENTO]])/360</f>
        <v>128.05833333333334</v>
      </c>
    </row>
    <row r="337" spans="1:23" x14ac:dyDescent="0.45">
      <c r="A337" t="s">
        <v>23</v>
      </c>
      <c r="B337" t="s">
        <v>388</v>
      </c>
      <c r="C337" t="s">
        <v>89</v>
      </c>
      <c r="D337" s="1">
        <v>45896</v>
      </c>
      <c r="E337" t="s">
        <v>1345</v>
      </c>
      <c r="F337" t="s">
        <v>1346</v>
      </c>
      <c r="G337" t="s">
        <v>42</v>
      </c>
      <c r="H337" t="s">
        <v>1347</v>
      </c>
      <c r="I337" t="s">
        <v>1348</v>
      </c>
      <c r="J337" t="s">
        <v>748</v>
      </c>
      <c r="K337" t="s">
        <v>1349</v>
      </c>
      <c r="L337">
        <v>991326032</v>
      </c>
      <c r="M337" t="s">
        <v>33</v>
      </c>
      <c r="N337" t="s">
        <v>34</v>
      </c>
      <c r="O337" t="s">
        <v>58</v>
      </c>
      <c r="P337" t="s">
        <v>66</v>
      </c>
      <c r="Q337">
        <v>8968936</v>
      </c>
      <c r="R337" t="s">
        <v>37</v>
      </c>
      <c r="S337" t="s">
        <v>38</v>
      </c>
      <c r="T337" t="s">
        <v>89</v>
      </c>
      <c r="U337" s="1">
        <v>45991</v>
      </c>
      <c r="W337" s="5">
        <f ca="1">+(TODAY()-Tabla2[[#This Row],[FECHA DE NACIMIENTO]])/360</f>
        <v>128.05833333333334</v>
      </c>
    </row>
    <row r="338" spans="1:23" x14ac:dyDescent="0.45">
      <c r="A338" t="s">
        <v>23</v>
      </c>
      <c r="B338" t="s">
        <v>388</v>
      </c>
      <c r="C338" t="s">
        <v>89</v>
      </c>
      <c r="D338" s="1">
        <v>45896</v>
      </c>
      <c r="E338" t="s">
        <v>1350</v>
      </c>
      <c r="F338" t="s">
        <v>1351</v>
      </c>
      <c r="G338" t="s">
        <v>42</v>
      </c>
      <c r="H338" t="s">
        <v>1071</v>
      </c>
      <c r="I338" t="s">
        <v>1352</v>
      </c>
      <c r="J338" t="s">
        <v>820</v>
      </c>
      <c r="K338" t="s">
        <v>1353</v>
      </c>
      <c r="L338">
        <v>979807883</v>
      </c>
      <c r="M338" t="s">
        <v>33</v>
      </c>
      <c r="N338" t="s">
        <v>34</v>
      </c>
      <c r="O338" t="s">
        <v>58</v>
      </c>
      <c r="P338" t="s">
        <v>66</v>
      </c>
      <c r="Q338">
        <v>13656550</v>
      </c>
      <c r="R338" t="s">
        <v>37</v>
      </c>
      <c r="S338" t="s">
        <v>38</v>
      </c>
      <c r="T338" t="s">
        <v>39</v>
      </c>
      <c r="U338" s="1">
        <v>45991</v>
      </c>
      <c r="W338" s="5">
        <f ca="1">+(TODAY()-Tabla2[[#This Row],[FECHA DE NACIMIENTO]])/360</f>
        <v>128.05833333333334</v>
      </c>
    </row>
    <row r="339" spans="1:23" x14ac:dyDescent="0.45">
      <c r="A339" t="s">
        <v>23</v>
      </c>
      <c r="B339" t="s">
        <v>388</v>
      </c>
      <c r="C339" t="s">
        <v>89</v>
      </c>
      <c r="D339" s="1">
        <v>45896</v>
      </c>
      <c r="E339" t="s">
        <v>1354</v>
      </c>
      <c r="F339" t="s">
        <v>1355</v>
      </c>
      <c r="G339" t="s">
        <v>42</v>
      </c>
      <c r="H339" t="s">
        <v>1356</v>
      </c>
      <c r="I339" t="s">
        <v>1357</v>
      </c>
      <c r="J339" t="s">
        <v>834</v>
      </c>
      <c r="K339" t="s">
        <v>1358</v>
      </c>
      <c r="L339">
        <v>979174916</v>
      </c>
      <c r="M339" t="s">
        <v>33</v>
      </c>
      <c r="N339" t="s">
        <v>34</v>
      </c>
      <c r="O339" t="s">
        <v>58</v>
      </c>
      <c r="P339" t="s">
        <v>732</v>
      </c>
      <c r="Q339">
        <v>1035700215</v>
      </c>
      <c r="R339" t="s">
        <v>37</v>
      </c>
      <c r="S339" t="s">
        <v>537</v>
      </c>
      <c r="T339" t="s">
        <v>39</v>
      </c>
      <c r="U339" s="1">
        <v>45991</v>
      </c>
      <c r="W339" s="5">
        <f ca="1">+(TODAY()-Tabla2[[#This Row],[FECHA DE NACIMIENTO]])/360</f>
        <v>128.05833333333334</v>
      </c>
    </row>
    <row r="340" spans="1:23" x14ac:dyDescent="0.45">
      <c r="A340" t="s">
        <v>1266</v>
      </c>
      <c r="B340" t="s">
        <v>1359</v>
      </c>
      <c r="C340" t="s">
        <v>89</v>
      </c>
      <c r="D340" s="2">
        <v>45897.441990740743</v>
      </c>
      <c r="E340" t="s">
        <v>1360</v>
      </c>
      <c r="F340" t="s">
        <v>1361</v>
      </c>
      <c r="G340" t="s">
        <v>42</v>
      </c>
      <c r="H340" t="s">
        <v>1362</v>
      </c>
      <c r="I340" t="s">
        <v>1363</v>
      </c>
      <c r="J340" t="s">
        <v>370</v>
      </c>
      <c r="K340" t="s">
        <v>1364</v>
      </c>
      <c r="L340">
        <v>56934169466</v>
      </c>
      <c r="M340" t="s">
        <v>56</v>
      </c>
      <c r="N340" t="s">
        <v>34</v>
      </c>
      <c r="O340" t="s">
        <v>35</v>
      </c>
      <c r="P340" t="s">
        <v>96</v>
      </c>
      <c r="Q340">
        <v>76263592</v>
      </c>
      <c r="R340" t="s">
        <v>37</v>
      </c>
      <c r="S340" t="s">
        <v>38</v>
      </c>
      <c r="T340" t="s">
        <v>39</v>
      </c>
      <c r="U340" s="1">
        <v>46022</v>
      </c>
      <c r="W340" s="5">
        <f ca="1">+(TODAY()-Tabla2[[#This Row],[FECHA DE NACIMIENTO]])/360</f>
        <v>128.05833333333334</v>
      </c>
    </row>
    <row r="341" spans="1:23" x14ac:dyDescent="0.45">
      <c r="A341" t="s">
        <v>1266</v>
      </c>
      <c r="B341" t="s">
        <v>1365</v>
      </c>
      <c r="C341" t="s">
        <v>89</v>
      </c>
      <c r="D341" s="2">
        <v>45897.442048611112</v>
      </c>
      <c r="E341" t="s">
        <v>1366</v>
      </c>
      <c r="F341" t="s">
        <v>1367</v>
      </c>
      <c r="G341" t="s">
        <v>28</v>
      </c>
      <c r="H341" t="s">
        <v>1368</v>
      </c>
      <c r="I341" t="s">
        <v>1369</v>
      </c>
      <c r="J341" t="s">
        <v>436</v>
      </c>
      <c r="K341" t="s">
        <v>1370</v>
      </c>
      <c r="L341">
        <v>56953279894</v>
      </c>
      <c r="M341" t="s">
        <v>81</v>
      </c>
      <c r="N341" t="s">
        <v>34</v>
      </c>
      <c r="O341" t="s">
        <v>35</v>
      </c>
      <c r="P341" t="s">
        <v>96</v>
      </c>
      <c r="Q341">
        <v>777911633473</v>
      </c>
      <c r="R341" t="s">
        <v>37</v>
      </c>
      <c r="S341" t="s">
        <v>38</v>
      </c>
      <c r="T341" t="s">
        <v>39</v>
      </c>
      <c r="U341" s="1">
        <v>45991</v>
      </c>
      <c r="W341" s="5">
        <f ca="1">+(TODAY()-Tabla2[[#This Row],[FECHA DE NACIMIENTO]])/360</f>
        <v>128.05833333333334</v>
      </c>
    </row>
    <row r="342" spans="1:23" x14ac:dyDescent="0.45">
      <c r="A342" t="s">
        <v>1266</v>
      </c>
      <c r="B342" t="s">
        <v>1371</v>
      </c>
      <c r="C342" t="s">
        <v>89</v>
      </c>
      <c r="D342" s="2">
        <v>45897.442523148151</v>
      </c>
      <c r="E342" t="s">
        <v>1372</v>
      </c>
      <c r="F342" t="s">
        <v>1373</v>
      </c>
      <c r="G342" t="s">
        <v>28</v>
      </c>
      <c r="H342" t="s">
        <v>302</v>
      </c>
      <c r="I342" t="s">
        <v>1374</v>
      </c>
      <c r="J342" t="s">
        <v>165</v>
      </c>
      <c r="K342" t="s">
        <v>1375</v>
      </c>
      <c r="L342">
        <v>964878438</v>
      </c>
      <c r="M342" t="s">
        <v>33</v>
      </c>
      <c r="N342" t="s">
        <v>34</v>
      </c>
      <c r="O342" t="s">
        <v>35</v>
      </c>
      <c r="P342" t="s">
        <v>96</v>
      </c>
      <c r="Q342">
        <v>30455553</v>
      </c>
      <c r="R342" t="s">
        <v>37</v>
      </c>
      <c r="S342" t="s">
        <v>38</v>
      </c>
      <c r="T342" t="s">
        <v>39</v>
      </c>
      <c r="U342" s="1">
        <v>45930</v>
      </c>
      <c r="W342" s="5">
        <f ca="1">+(TODAY()-Tabla2[[#This Row],[FECHA DE NACIMIENTO]])/360</f>
        <v>128.05833333333334</v>
      </c>
    </row>
    <row r="343" spans="1:23" x14ac:dyDescent="0.45">
      <c r="A343" t="s">
        <v>1266</v>
      </c>
      <c r="B343" t="s">
        <v>1376</v>
      </c>
      <c r="C343" t="s">
        <v>89</v>
      </c>
      <c r="D343" s="2">
        <v>45897.442812499998</v>
      </c>
      <c r="E343" t="s">
        <v>1377</v>
      </c>
      <c r="F343" t="s">
        <v>1378</v>
      </c>
      <c r="G343" t="s">
        <v>42</v>
      </c>
      <c r="H343" t="s">
        <v>1379</v>
      </c>
      <c r="I343" t="s">
        <v>1380</v>
      </c>
      <c r="J343" t="s">
        <v>94</v>
      </c>
      <c r="K343" t="s">
        <v>1381</v>
      </c>
      <c r="L343">
        <v>977423739</v>
      </c>
      <c r="M343" t="s">
        <v>33</v>
      </c>
      <c r="N343" t="s">
        <v>34</v>
      </c>
      <c r="O343" t="s">
        <v>58</v>
      </c>
      <c r="P343" t="s">
        <v>48</v>
      </c>
      <c r="Q343">
        <v>16323257</v>
      </c>
      <c r="R343" t="s">
        <v>37</v>
      </c>
      <c r="S343" t="s">
        <v>137</v>
      </c>
      <c r="T343" t="s">
        <v>39</v>
      </c>
      <c r="U343" s="1">
        <v>45991</v>
      </c>
      <c r="W343" s="5">
        <f ca="1">+(TODAY()-Tabla2[[#This Row],[FECHA DE NACIMIENTO]])/360</f>
        <v>128.05833333333334</v>
      </c>
    </row>
    <row r="344" spans="1:23" x14ac:dyDescent="0.45">
      <c r="A344" t="s">
        <v>1266</v>
      </c>
      <c r="B344" t="s">
        <v>1359</v>
      </c>
      <c r="C344" t="s">
        <v>89</v>
      </c>
      <c r="D344" s="2">
        <v>45897.442870370367</v>
      </c>
      <c r="E344" t="s">
        <v>1382</v>
      </c>
      <c r="F344" t="s">
        <v>1383</v>
      </c>
      <c r="G344" t="s">
        <v>28</v>
      </c>
      <c r="H344" t="s">
        <v>1384</v>
      </c>
      <c r="I344" t="s">
        <v>1385</v>
      </c>
      <c r="J344" t="s">
        <v>643</v>
      </c>
      <c r="K344" t="s">
        <v>1386</v>
      </c>
      <c r="L344">
        <v>56992066480</v>
      </c>
      <c r="M344" t="s">
        <v>56</v>
      </c>
      <c r="N344" t="s">
        <v>57</v>
      </c>
      <c r="O344" t="s">
        <v>35</v>
      </c>
      <c r="P344" t="s">
        <v>96</v>
      </c>
      <c r="Q344">
        <v>46178767</v>
      </c>
      <c r="R344" t="s">
        <v>37</v>
      </c>
      <c r="S344" t="s">
        <v>38</v>
      </c>
      <c r="T344" t="s">
        <v>39</v>
      </c>
      <c r="U344" s="1">
        <v>46022</v>
      </c>
      <c r="W344" s="5">
        <f ca="1">+(TODAY()-Tabla2[[#This Row],[FECHA DE NACIMIENTO]])/360</f>
        <v>128.05833333333334</v>
      </c>
    </row>
    <row r="345" spans="1:23" x14ac:dyDescent="0.45">
      <c r="A345" t="s">
        <v>1266</v>
      </c>
      <c r="B345" t="s">
        <v>1387</v>
      </c>
      <c r="C345" t="s">
        <v>89</v>
      </c>
      <c r="D345" s="2">
        <v>45897.442893518521</v>
      </c>
      <c r="E345" t="s">
        <v>1388</v>
      </c>
      <c r="F345" t="s">
        <v>1389</v>
      </c>
      <c r="G345" t="s">
        <v>28</v>
      </c>
      <c r="H345" t="s">
        <v>1390</v>
      </c>
      <c r="I345" t="s">
        <v>1391</v>
      </c>
      <c r="J345" t="s">
        <v>31</v>
      </c>
      <c r="K345" t="s">
        <v>1392</v>
      </c>
      <c r="L345">
        <v>56933932744</v>
      </c>
      <c r="M345" t="s">
        <v>33</v>
      </c>
      <c r="N345" t="s">
        <v>34</v>
      </c>
      <c r="O345" t="s">
        <v>58</v>
      </c>
      <c r="P345" t="s">
        <v>1393</v>
      </c>
      <c r="Q345">
        <v>11848173</v>
      </c>
      <c r="R345" t="s">
        <v>37</v>
      </c>
      <c r="S345" t="s">
        <v>38</v>
      </c>
      <c r="T345" t="s">
        <v>39</v>
      </c>
      <c r="U345" s="1">
        <v>45930</v>
      </c>
      <c r="W345" s="5">
        <f ca="1">+(TODAY()-Tabla2[[#This Row],[FECHA DE NACIMIENTO]])/360</f>
        <v>128.05833333333334</v>
      </c>
    </row>
    <row r="346" spans="1:23" x14ac:dyDescent="0.45">
      <c r="A346" t="s">
        <v>1266</v>
      </c>
      <c r="B346" t="s">
        <v>1267</v>
      </c>
      <c r="C346" t="s">
        <v>89</v>
      </c>
      <c r="D346" s="2">
        <v>45897.442939814813</v>
      </c>
      <c r="E346" t="s">
        <v>1394</v>
      </c>
      <c r="F346" t="s">
        <v>1395</v>
      </c>
      <c r="G346" t="s">
        <v>28</v>
      </c>
      <c r="H346" t="s">
        <v>1396</v>
      </c>
      <c r="I346" t="s">
        <v>1397</v>
      </c>
      <c r="J346" t="s">
        <v>338</v>
      </c>
      <c r="K346" t="s">
        <v>1398</v>
      </c>
      <c r="L346">
        <v>56951975226</v>
      </c>
      <c r="M346" t="s">
        <v>33</v>
      </c>
      <c r="N346" t="s">
        <v>34</v>
      </c>
      <c r="O346" t="s">
        <v>35</v>
      </c>
      <c r="P346" t="s">
        <v>82</v>
      </c>
      <c r="Q346">
        <v>19810365136</v>
      </c>
      <c r="R346" t="s">
        <v>37</v>
      </c>
      <c r="S346" t="s">
        <v>38</v>
      </c>
      <c r="T346" t="s">
        <v>39</v>
      </c>
      <c r="U346" s="1">
        <v>45991</v>
      </c>
      <c r="W346" s="5">
        <f ca="1">+(TODAY()-Tabla2[[#This Row],[FECHA DE NACIMIENTO]])/360</f>
        <v>128.05833333333334</v>
      </c>
    </row>
    <row r="347" spans="1:23" x14ac:dyDescent="0.45">
      <c r="A347" t="s">
        <v>1266</v>
      </c>
      <c r="B347" t="s">
        <v>1267</v>
      </c>
      <c r="C347" t="s">
        <v>89</v>
      </c>
      <c r="D347" s="2">
        <v>45897.442939814813</v>
      </c>
      <c r="E347" t="s">
        <v>1399</v>
      </c>
      <c r="F347" t="s">
        <v>1400</v>
      </c>
      <c r="G347" t="s">
        <v>28</v>
      </c>
      <c r="H347" t="s">
        <v>1401</v>
      </c>
      <c r="I347" t="s">
        <v>1402</v>
      </c>
      <c r="J347" t="s">
        <v>54</v>
      </c>
      <c r="L347">
        <v>56989872189</v>
      </c>
      <c r="M347" t="s">
        <v>33</v>
      </c>
      <c r="N347" t="s">
        <v>34</v>
      </c>
      <c r="O347" t="s">
        <v>58</v>
      </c>
      <c r="P347" t="s">
        <v>66</v>
      </c>
      <c r="Q347">
        <v>21455641</v>
      </c>
      <c r="R347" t="s">
        <v>37</v>
      </c>
      <c r="S347" t="s">
        <v>38</v>
      </c>
      <c r="T347" t="s">
        <v>39</v>
      </c>
      <c r="U347" s="1">
        <v>45991</v>
      </c>
      <c r="W347" s="5">
        <f ca="1">+(TODAY()-Tabla2[[#This Row],[FECHA DE NACIMIENTO]])/360</f>
        <v>128.05833333333334</v>
      </c>
    </row>
    <row r="348" spans="1:23" x14ac:dyDescent="0.45">
      <c r="A348" t="s">
        <v>1266</v>
      </c>
      <c r="B348" t="s">
        <v>1387</v>
      </c>
      <c r="C348" t="s">
        <v>89</v>
      </c>
      <c r="D348" s="2">
        <v>45897.443032407406</v>
      </c>
      <c r="E348" t="s">
        <v>1403</v>
      </c>
      <c r="F348" t="s">
        <v>1404</v>
      </c>
      <c r="G348" t="s">
        <v>42</v>
      </c>
      <c r="H348" t="s">
        <v>1405</v>
      </c>
      <c r="I348" t="s">
        <v>1406</v>
      </c>
      <c r="J348" t="s">
        <v>165</v>
      </c>
      <c r="K348" t="s">
        <v>1407</v>
      </c>
      <c r="L348">
        <v>941887585</v>
      </c>
      <c r="M348" t="s">
        <v>56</v>
      </c>
      <c r="N348" t="s">
        <v>57</v>
      </c>
      <c r="O348" t="s">
        <v>58</v>
      </c>
      <c r="P348" t="s">
        <v>66</v>
      </c>
      <c r="Q348">
        <v>26101556</v>
      </c>
      <c r="R348" t="s">
        <v>37</v>
      </c>
      <c r="S348" t="s">
        <v>137</v>
      </c>
      <c r="T348" t="s">
        <v>39</v>
      </c>
      <c r="U348" s="1">
        <v>45991</v>
      </c>
      <c r="W348" s="5">
        <f ca="1">+(TODAY()-Tabla2[[#This Row],[FECHA DE NACIMIENTO]])/360</f>
        <v>128.05833333333334</v>
      </c>
    </row>
    <row r="349" spans="1:23" x14ac:dyDescent="0.45">
      <c r="A349" t="s">
        <v>1266</v>
      </c>
      <c r="B349" t="s">
        <v>1387</v>
      </c>
      <c r="C349" t="s">
        <v>89</v>
      </c>
      <c r="D349" s="2">
        <v>45897.443055555559</v>
      </c>
      <c r="E349" t="s">
        <v>1408</v>
      </c>
      <c r="F349" t="s">
        <v>1409</v>
      </c>
      <c r="G349" t="s">
        <v>42</v>
      </c>
      <c r="H349" t="s">
        <v>156</v>
      </c>
      <c r="I349" t="s">
        <v>1410</v>
      </c>
      <c r="J349" t="s">
        <v>436</v>
      </c>
      <c r="K349" t="s">
        <v>1411</v>
      </c>
      <c r="L349">
        <v>936685835</v>
      </c>
      <c r="M349" t="s">
        <v>658</v>
      </c>
      <c r="N349" t="s">
        <v>57</v>
      </c>
      <c r="O349" t="s">
        <v>35</v>
      </c>
      <c r="P349" t="s">
        <v>82</v>
      </c>
      <c r="Q349">
        <v>18800231643</v>
      </c>
      <c r="R349" t="s">
        <v>37</v>
      </c>
      <c r="S349" t="s">
        <v>137</v>
      </c>
      <c r="T349" t="s">
        <v>39</v>
      </c>
      <c r="U349" s="1">
        <v>45991</v>
      </c>
      <c r="W349" s="5">
        <f ca="1">+(TODAY()-Tabla2[[#This Row],[FECHA DE NACIMIENTO]])/360</f>
        <v>128.05833333333334</v>
      </c>
    </row>
    <row r="350" spans="1:23" x14ac:dyDescent="0.45">
      <c r="A350" t="s">
        <v>1266</v>
      </c>
      <c r="B350" t="s">
        <v>1376</v>
      </c>
      <c r="C350" t="s">
        <v>89</v>
      </c>
      <c r="D350" s="2">
        <v>45897.443090277775</v>
      </c>
      <c r="E350" t="s">
        <v>1412</v>
      </c>
      <c r="F350" t="s">
        <v>1413</v>
      </c>
      <c r="G350" t="s">
        <v>42</v>
      </c>
      <c r="H350" t="s">
        <v>1379</v>
      </c>
      <c r="I350" t="s">
        <v>1414</v>
      </c>
      <c r="J350" t="s">
        <v>94</v>
      </c>
      <c r="K350" t="s">
        <v>1415</v>
      </c>
      <c r="L350">
        <v>990880526</v>
      </c>
      <c r="M350" t="s">
        <v>33</v>
      </c>
      <c r="N350" t="s">
        <v>34</v>
      </c>
      <c r="O350" t="s">
        <v>58</v>
      </c>
      <c r="P350" t="s">
        <v>48</v>
      </c>
      <c r="Q350">
        <v>27923171</v>
      </c>
      <c r="R350" t="s">
        <v>37</v>
      </c>
      <c r="S350" t="s">
        <v>137</v>
      </c>
      <c r="T350" t="s">
        <v>39</v>
      </c>
      <c r="U350" s="1">
        <v>45991</v>
      </c>
      <c r="W350" s="5">
        <f ca="1">+(TODAY()-Tabla2[[#This Row],[FECHA DE NACIMIENTO]])/360</f>
        <v>128.05833333333334</v>
      </c>
    </row>
    <row r="351" spans="1:23" x14ac:dyDescent="0.45">
      <c r="A351" t="s">
        <v>1266</v>
      </c>
      <c r="B351" t="s">
        <v>1376</v>
      </c>
      <c r="C351" t="s">
        <v>89</v>
      </c>
      <c r="D351" s="2">
        <v>45897.443541666667</v>
      </c>
      <c r="E351" t="s">
        <v>1416</v>
      </c>
      <c r="F351" t="s">
        <v>1417</v>
      </c>
      <c r="G351" t="s">
        <v>42</v>
      </c>
      <c r="H351" t="s">
        <v>1418</v>
      </c>
      <c r="I351" t="s">
        <v>1419</v>
      </c>
      <c r="J351" t="s">
        <v>455</v>
      </c>
      <c r="K351" t="s">
        <v>1420</v>
      </c>
      <c r="L351">
        <v>951975491</v>
      </c>
      <c r="M351" t="s">
        <v>33</v>
      </c>
      <c r="N351" t="s">
        <v>34</v>
      </c>
      <c r="O351" t="s">
        <v>58</v>
      </c>
      <c r="P351" t="s">
        <v>66</v>
      </c>
      <c r="Q351">
        <v>4345591281949986</v>
      </c>
      <c r="R351" t="s">
        <v>37</v>
      </c>
      <c r="S351" t="s">
        <v>137</v>
      </c>
      <c r="T351" t="s">
        <v>39</v>
      </c>
      <c r="U351" s="1">
        <v>45930</v>
      </c>
      <c r="W351" s="5">
        <f ca="1">+(TODAY()-Tabla2[[#This Row],[FECHA DE NACIMIENTO]])/360</f>
        <v>128.05833333333334</v>
      </c>
    </row>
    <row r="352" spans="1:23" x14ac:dyDescent="0.45">
      <c r="A352" t="s">
        <v>1266</v>
      </c>
      <c r="B352" t="s">
        <v>1376</v>
      </c>
      <c r="C352" t="s">
        <v>89</v>
      </c>
      <c r="D352" s="2">
        <v>45897.443680555552</v>
      </c>
      <c r="E352" t="s">
        <v>1421</v>
      </c>
      <c r="F352" t="s">
        <v>1422</v>
      </c>
      <c r="G352" t="s">
        <v>28</v>
      </c>
      <c r="H352" t="s">
        <v>69</v>
      </c>
      <c r="I352" t="s">
        <v>1423</v>
      </c>
      <c r="J352" t="s">
        <v>165</v>
      </c>
      <c r="K352" t="s">
        <v>1424</v>
      </c>
      <c r="L352">
        <v>965395718</v>
      </c>
      <c r="M352" t="s">
        <v>33</v>
      </c>
      <c r="N352" t="s">
        <v>34</v>
      </c>
      <c r="O352" t="s">
        <v>35</v>
      </c>
      <c r="P352" t="s">
        <v>36</v>
      </c>
      <c r="Q352">
        <v>84634492</v>
      </c>
      <c r="R352" t="s">
        <v>37</v>
      </c>
      <c r="S352" t="s">
        <v>137</v>
      </c>
      <c r="T352" t="s">
        <v>39</v>
      </c>
      <c r="U352" s="1">
        <v>45991</v>
      </c>
      <c r="W352" s="5">
        <f ca="1">+(TODAY()-Tabla2[[#This Row],[FECHA DE NACIMIENTO]])/360</f>
        <v>128.05833333333334</v>
      </c>
    </row>
    <row r="353" spans="1:23" x14ac:dyDescent="0.45">
      <c r="A353" t="s">
        <v>1266</v>
      </c>
      <c r="B353" t="s">
        <v>1371</v>
      </c>
      <c r="C353" t="s">
        <v>89</v>
      </c>
      <c r="D353" s="2">
        <v>45897.444594907407</v>
      </c>
      <c r="E353" t="s">
        <v>1425</v>
      </c>
      <c r="F353" t="s">
        <v>1426</v>
      </c>
      <c r="G353" t="s">
        <v>42</v>
      </c>
      <c r="H353" t="s">
        <v>1427</v>
      </c>
      <c r="I353" t="s">
        <v>1428</v>
      </c>
      <c r="J353" t="s">
        <v>1429</v>
      </c>
      <c r="K353" t="s">
        <v>1430</v>
      </c>
      <c r="L353">
        <v>951355642</v>
      </c>
      <c r="M353" t="s">
        <v>33</v>
      </c>
      <c r="N353" t="s">
        <v>34</v>
      </c>
      <c r="O353" t="s">
        <v>35</v>
      </c>
      <c r="P353" t="s">
        <v>66</v>
      </c>
      <c r="Q353">
        <v>28000010253</v>
      </c>
      <c r="R353" t="s">
        <v>37</v>
      </c>
      <c r="S353" t="s">
        <v>38</v>
      </c>
      <c r="T353" t="s">
        <v>39</v>
      </c>
      <c r="U353" s="1">
        <v>45961</v>
      </c>
      <c r="W353" s="5">
        <f ca="1">+(TODAY()-Tabla2[[#This Row],[FECHA DE NACIMIENTO]])/360</f>
        <v>128.05833333333334</v>
      </c>
    </row>
    <row r="354" spans="1:23" x14ac:dyDescent="0.45">
      <c r="A354" t="s">
        <v>1266</v>
      </c>
      <c r="B354" t="s">
        <v>1387</v>
      </c>
      <c r="C354" t="s">
        <v>89</v>
      </c>
      <c r="D354" s="2">
        <v>45898.650243055556</v>
      </c>
      <c r="E354" t="s">
        <v>1431</v>
      </c>
      <c r="F354" t="s">
        <v>1432</v>
      </c>
      <c r="G354" t="s">
        <v>42</v>
      </c>
      <c r="H354" t="s">
        <v>1171</v>
      </c>
      <c r="I354" t="s">
        <v>1433</v>
      </c>
      <c r="J354" t="s">
        <v>204</v>
      </c>
      <c r="K354" t="s">
        <v>1434</v>
      </c>
      <c r="L354">
        <v>56973292830</v>
      </c>
      <c r="M354" t="s">
        <v>81</v>
      </c>
      <c r="N354" t="s">
        <v>34</v>
      </c>
      <c r="O354" t="s">
        <v>35</v>
      </c>
      <c r="P354" t="s">
        <v>130</v>
      </c>
      <c r="Q354">
        <v>972141763</v>
      </c>
      <c r="R354" t="s">
        <v>37</v>
      </c>
      <c r="S354" t="s">
        <v>137</v>
      </c>
      <c r="T354" t="s">
        <v>39</v>
      </c>
      <c r="U354" s="1">
        <v>45991</v>
      </c>
      <c r="W354" s="5">
        <f ca="1">+(TODAY()-Tabla2[[#This Row],[FECHA DE NACIMIENTO]])/360</f>
        <v>128.05833333333334</v>
      </c>
    </row>
    <row r="355" spans="1:23" x14ac:dyDescent="0.45">
      <c r="A355" t="s">
        <v>23</v>
      </c>
      <c r="B355" t="s">
        <v>125</v>
      </c>
      <c r="C355" t="s">
        <v>89</v>
      </c>
      <c r="D355" s="1">
        <v>45901</v>
      </c>
      <c r="E355" t="s">
        <v>1435</v>
      </c>
      <c r="F355" t="s">
        <v>1436</v>
      </c>
      <c r="G355" t="s">
        <v>28</v>
      </c>
      <c r="H355" t="s">
        <v>69</v>
      </c>
      <c r="I355" t="s">
        <v>1437</v>
      </c>
      <c r="J355" t="s">
        <v>692</v>
      </c>
      <c r="K355" t="s">
        <v>1438</v>
      </c>
      <c r="L355">
        <v>933890409</v>
      </c>
      <c r="M355" t="s">
        <v>33</v>
      </c>
      <c r="N355" t="s">
        <v>34</v>
      </c>
      <c r="O355" t="s">
        <v>35</v>
      </c>
      <c r="P355" t="s">
        <v>130</v>
      </c>
      <c r="Q355">
        <v>989579363</v>
      </c>
      <c r="R355" t="s">
        <v>37</v>
      </c>
      <c r="S355" t="s">
        <v>38</v>
      </c>
      <c r="T355" t="s">
        <v>39</v>
      </c>
      <c r="U355" s="1">
        <v>45930</v>
      </c>
      <c r="W355" s="5">
        <f ca="1">+(TODAY()-Tabla2[[#This Row],[FECHA DE NACIMIENTO]])/360</f>
        <v>128.05833333333334</v>
      </c>
    </row>
    <row r="356" spans="1:23" x14ac:dyDescent="0.45">
      <c r="A356" t="s">
        <v>1266</v>
      </c>
      <c r="B356" t="s">
        <v>1387</v>
      </c>
      <c r="C356" t="s">
        <v>89</v>
      </c>
      <c r="D356" s="2">
        <v>45903.756678240738</v>
      </c>
      <c r="E356" t="s">
        <v>1439</v>
      </c>
      <c r="F356" t="s">
        <v>1440</v>
      </c>
      <c r="G356" t="s">
        <v>42</v>
      </c>
      <c r="H356" t="s">
        <v>239</v>
      </c>
      <c r="I356" t="s">
        <v>1441</v>
      </c>
      <c r="J356" t="s">
        <v>158</v>
      </c>
      <c r="K356" t="s">
        <v>1442</v>
      </c>
      <c r="L356">
        <v>56966500816</v>
      </c>
      <c r="M356" t="s">
        <v>33</v>
      </c>
      <c r="N356" t="s">
        <v>57</v>
      </c>
      <c r="O356" t="s">
        <v>58</v>
      </c>
      <c r="P356" t="s">
        <v>66</v>
      </c>
      <c r="Q356">
        <v>25683061</v>
      </c>
      <c r="R356" t="s">
        <v>37</v>
      </c>
      <c r="S356" t="s">
        <v>38</v>
      </c>
      <c r="T356" t="s">
        <v>39</v>
      </c>
      <c r="U356" s="1">
        <v>45991</v>
      </c>
      <c r="W356" s="5">
        <f ca="1">+(TODAY()-Tabla2[[#This Row],[FECHA DE NACIMIENTO]])/360</f>
        <v>128.05833333333334</v>
      </c>
    </row>
    <row r="357" spans="1:23" x14ac:dyDescent="0.45">
      <c r="A357" t="s">
        <v>1266</v>
      </c>
      <c r="B357" t="s">
        <v>1267</v>
      </c>
      <c r="C357" t="s">
        <v>25</v>
      </c>
      <c r="D357" s="2">
        <v>45911.464594907404</v>
      </c>
      <c r="E357" t="s">
        <v>1443</v>
      </c>
      <c r="F357" t="s">
        <v>1444</v>
      </c>
      <c r="G357" t="s">
        <v>28</v>
      </c>
      <c r="H357" t="s">
        <v>1368</v>
      </c>
      <c r="I357" t="s">
        <v>1445</v>
      </c>
      <c r="J357" t="s">
        <v>393</v>
      </c>
      <c r="K357" t="s">
        <v>1446</v>
      </c>
      <c r="L357">
        <v>931869548</v>
      </c>
      <c r="M357" t="s">
        <v>33</v>
      </c>
      <c r="N357" t="s">
        <v>34</v>
      </c>
      <c r="O357" t="s">
        <v>58</v>
      </c>
      <c r="P357" t="s">
        <v>82</v>
      </c>
      <c r="Q357">
        <v>50011490214</v>
      </c>
      <c r="R357" t="s">
        <v>37</v>
      </c>
      <c r="S357" t="s">
        <v>38</v>
      </c>
      <c r="T357" t="s">
        <v>39</v>
      </c>
      <c r="U357" s="1">
        <v>45991</v>
      </c>
      <c r="W357" s="5">
        <f ca="1">+(TODAY()-Tabla2[[#This Row],[FECHA DE NACIMIENTO]])/360</f>
        <v>128.05833333333334</v>
      </c>
    </row>
    <row r="358" spans="1:23" x14ac:dyDescent="0.45">
      <c r="A358" t="s">
        <v>23</v>
      </c>
      <c r="B358" t="s">
        <v>388</v>
      </c>
      <c r="C358" t="s">
        <v>89</v>
      </c>
      <c r="D358" s="1">
        <v>45922</v>
      </c>
      <c r="E358" t="s">
        <v>1447</v>
      </c>
      <c r="F358" t="s">
        <v>1448</v>
      </c>
      <c r="G358" t="s">
        <v>28</v>
      </c>
      <c r="H358" t="s">
        <v>1126</v>
      </c>
      <c r="I358" t="s">
        <v>1449</v>
      </c>
      <c r="J358" t="s">
        <v>820</v>
      </c>
      <c r="K358" t="s">
        <v>1450</v>
      </c>
      <c r="L358">
        <v>56945132242</v>
      </c>
      <c r="M358" t="s">
        <v>81</v>
      </c>
      <c r="N358" t="s">
        <v>34</v>
      </c>
      <c r="O358" t="s">
        <v>58</v>
      </c>
      <c r="P358" t="s">
        <v>66</v>
      </c>
      <c r="Q358">
        <v>12478945</v>
      </c>
      <c r="R358" t="s">
        <v>37</v>
      </c>
      <c r="S358" t="s">
        <v>38</v>
      </c>
      <c r="T358" t="s">
        <v>39</v>
      </c>
      <c r="W358" s="5">
        <f ca="1">+(TODAY()-Tabla2[[#This Row],[FECHA DE NACIMIENTO]])/360</f>
        <v>128.05833333333334</v>
      </c>
    </row>
    <row r="359" spans="1:23" x14ac:dyDescent="0.45">
      <c r="A359" t="s">
        <v>23</v>
      </c>
      <c r="B359" t="s">
        <v>659</v>
      </c>
      <c r="C359" t="s">
        <v>89</v>
      </c>
      <c r="D359" s="1">
        <v>45922</v>
      </c>
      <c r="E359" t="s">
        <v>1451</v>
      </c>
      <c r="F359" t="s">
        <v>1452</v>
      </c>
      <c r="G359" t="s">
        <v>42</v>
      </c>
      <c r="H359" t="s">
        <v>327</v>
      </c>
      <c r="I359" t="s">
        <v>1453</v>
      </c>
      <c r="J359" t="s">
        <v>1255</v>
      </c>
      <c r="K359" t="s">
        <v>1454</v>
      </c>
      <c r="L359">
        <v>936211390</v>
      </c>
      <c r="M359" t="s">
        <v>33</v>
      </c>
      <c r="N359" t="s">
        <v>34</v>
      </c>
      <c r="O359" t="s">
        <v>58</v>
      </c>
      <c r="P359" t="s">
        <v>66</v>
      </c>
      <c r="Q359">
        <v>22210144</v>
      </c>
      <c r="R359" t="s">
        <v>37</v>
      </c>
      <c r="S359" t="s">
        <v>38</v>
      </c>
      <c r="T359" t="s">
        <v>89</v>
      </c>
      <c r="W359" s="5">
        <f ca="1">+(TODAY()-Tabla2[[#This Row],[FECHA DE NACIMIENTO]])/360</f>
        <v>128.05833333333334</v>
      </c>
    </row>
    <row r="360" spans="1:23" x14ac:dyDescent="0.45">
      <c r="A360" t="s">
        <v>23</v>
      </c>
      <c r="B360" t="s">
        <v>125</v>
      </c>
      <c r="C360" t="s">
        <v>89</v>
      </c>
      <c r="D360" s="1">
        <v>45922</v>
      </c>
      <c r="E360" t="s">
        <v>1455</v>
      </c>
      <c r="F360" t="s">
        <v>1456</v>
      </c>
      <c r="G360" t="s">
        <v>28</v>
      </c>
      <c r="H360" t="s">
        <v>1457</v>
      </c>
      <c r="I360" t="s">
        <v>1458</v>
      </c>
      <c r="J360" t="s">
        <v>229</v>
      </c>
      <c r="K360" t="s">
        <v>1459</v>
      </c>
      <c r="L360">
        <v>56940098021</v>
      </c>
      <c r="M360" t="s">
        <v>81</v>
      </c>
      <c r="N360" t="s">
        <v>34</v>
      </c>
      <c r="O360" t="s">
        <v>58</v>
      </c>
      <c r="P360" t="s">
        <v>732</v>
      </c>
      <c r="Q360">
        <v>1021872843</v>
      </c>
      <c r="R360" t="s">
        <v>37</v>
      </c>
      <c r="S360" t="s">
        <v>537</v>
      </c>
      <c r="T360" t="s">
        <v>39</v>
      </c>
      <c r="U360" s="1">
        <v>45961</v>
      </c>
      <c r="W360" s="5">
        <f ca="1">+(TODAY()-Tabla2[[#This Row],[FECHA DE NACIMIENTO]])/360</f>
        <v>128.05833333333334</v>
      </c>
    </row>
    <row r="361" spans="1:23" x14ac:dyDescent="0.45">
      <c r="A361" t="s">
        <v>23</v>
      </c>
      <c r="B361" t="s">
        <v>388</v>
      </c>
      <c r="C361" t="s">
        <v>89</v>
      </c>
      <c r="D361" s="1">
        <v>45922</v>
      </c>
      <c r="E361" t="s">
        <v>1460</v>
      </c>
      <c r="F361" t="s">
        <v>1461</v>
      </c>
      <c r="G361" t="s">
        <v>28</v>
      </c>
      <c r="H361" t="s">
        <v>52</v>
      </c>
      <c r="I361" t="s">
        <v>1462</v>
      </c>
      <c r="J361" t="s">
        <v>158</v>
      </c>
      <c r="K361" t="s">
        <v>1463</v>
      </c>
      <c r="L361">
        <v>949267038</v>
      </c>
      <c r="M361" t="s">
        <v>33</v>
      </c>
      <c r="N361" t="s">
        <v>34</v>
      </c>
      <c r="O361" t="s">
        <v>58</v>
      </c>
      <c r="P361" t="s">
        <v>732</v>
      </c>
      <c r="Q361">
        <v>1023255628</v>
      </c>
      <c r="R361" t="s">
        <v>60</v>
      </c>
      <c r="S361" t="s">
        <v>38</v>
      </c>
      <c r="T361" t="s">
        <v>89</v>
      </c>
      <c r="W361" s="5">
        <f ca="1">+(TODAY()-Tabla2[[#This Row],[FECHA DE NACIMIENTO]])/360</f>
        <v>128.05833333333334</v>
      </c>
    </row>
    <row r="362" spans="1:23" x14ac:dyDescent="0.45">
      <c r="A362" t="s">
        <v>23</v>
      </c>
      <c r="B362" t="s">
        <v>1464</v>
      </c>
      <c r="C362" t="s">
        <v>89</v>
      </c>
      <c r="D362" s="1">
        <v>45922</v>
      </c>
      <c r="E362" t="s">
        <v>1465</v>
      </c>
      <c r="F362" t="s">
        <v>1466</v>
      </c>
      <c r="G362" t="s">
        <v>42</v>
      </c>
      <c r="H362" t="s">
        <v>1467</v>
      </c>
      <c r="I362" t="s">
        <v>1468</v>
      </c>
      <c r="J362" t="s">
        <v>516</v>
      </c>
      <c r="K362" t="s">
        <v>1469</v>
      </c>
      <c r="L362">
        <v>949152282</v>
      </c>
      <c r="M362" t="s">
        <v>33</v>
      </c>
      <c r="N362" t="s">
        <v>57</v>
      </c>
      <c r="O362" t="s">
        <v>58</v>
      </c>
      <c r="P362" t="s">
        <v>66</v>
      </c>
      <c r="Q362">
        <v>26523262</v>
      </c>
      <c r="R362" t="s">
        <v>37</v>
      </c>
      <c r="S362" t="s">
        <v>137</v>
      </c>
      <c r="T362" t="s">
        <v>74</v>
      </c>
      <c r="U362" s="1">
        <v>45961</v>
      </c>
      <c r="W362" s="5">
        <f ca="1">+(TODAY()-Tabla2[[#This Row],[FECHA DE NACIMIENTO]])/360</f>
        <v>128.05833333333334</v>
      </c>
    </row>
    <row r="363" spans="1:23" x14ac:dyDescent="0.45">
      <c r="A363" t="s">
        <v>1266</v>
      </c>
      <c r="B363" t="s">
        <v>1470</v>
      </c>
      <c r="C363" t="s">
        <v>89</v>
      </c>
      <c r="D363" s="1">
        <v>45922</v>
      </c>
      <c r="E363" t="s">
        <v>1471</v>
      </c>
      <c r="F363" t="s">
        <v>1472</v>
      </c>
      <c r="G363" t="s">
        <v>42</v>
      </c>
      <c r="H363" t="s">
        <v>1473</v>
      </c>
      <c r="I363" t="s">
        <v>1474</v>
      </c>
      <c r="J363" t="s">
        <v>165</v>
      </c>
      <c r="K363" t="s">
        <v>1475</v>
      </c>
      <c r="L363">
        <v>56959808593</v>
      </c>
      <c r="M363" t="s">
        <v>33</v>
      </c>
      <c r="N363" t="s">
        <v>57</v>
      </c>
      <c r="O363" t="s">
        <v>58</v>
      </c>
      <c r="P363" t="s">
        <v>66</v>
      </c>
      <c r="Q363">
        <v>26061746</v>
      </c>
      <c r="R363" t="s">
        <v>37</v>
      </c>
      <c r="S363" t="s">
        <v>38</v>
      </c>
      <c r="T363" t="s">
        <v>39</v>
      </c>
      <c r="U363" s="1">
        <v>45961</v>
      </c>
      <c r="W363" s="5">
        <f ca="1">+(TODAY()-Tabla2[[#This Row],[FECHA DE NACIMIENTO]])/360</f>
        <v>128.05833333333334</v>
      </c>
    </row>
    <row r="364" spans="1:23" x14ac:dyDescent="0.45">
      <c r="A364" t="s">
        <v>23</v>
      </c>
      <c r="B364" t="s">
        <v>388</v>
      </c>
      <c r="C364" t="s">
        <v>89</v>
      </c>
      <c r="D364" s="1">
        <v>45922</v>
      </c>
      <c r="E364" t="s">
        <v>1476</v>
      </c>
      <c r="F364" t="s">
        <v>1477</v>
      </c>
      <c r="G364" t="s">
        <v>42</v>
      </c>
      <c r="H364" t="s">
        <v>1478</v>
      </c>
      <c r="I364" t="s">
        <v>1479</v>
      </c>
      <c r="J364" t="s">
        <v>834</v>
      </c>
      <c r="K364" t="s">
        <v>1480</v>
      </c>
      <c r="L364">
        <v>955819087</v>
      </c>
      <c r="M364" t="s">
        <v>33</v>
      </c>
      <c r="N364" t="s">
        <v>34</v>
      </c>
      <c r="O364" t="s">
        <v>58</v>
      </c>
      <c r="P364" t="s">
        <v>66</v>
      </c>
      <c r="Q364">
        <v>18123027</v>
      </c>
      <c r="R364" t="s">
        <v>37</v>
      </c>
      <c r="S364" t="s">
        <v>38</v>
      </c>
      <c r="T364" t="s">
        <v>89</v>
      </c>
      <c r="U364" s="1">
        <v>45961</v>
      </c>
      <c r="W364" s="5">
        <f ca="1">+(TODAY()-Tabla2[[#This Row],[FECHA DE NACIMIENTO]])/360</f>
        <v>128.05833333333334</v>
      </c>
    </row>
    <row r="365" spans="1:23" x14ac:dyDescent="0.45">
      <c r="A365" t="s">
        <v>23</v>
      </c>
      <c r="B365" t="s">
        <v>652</v>
      </c>
      <c r="C365" t="s">
        <v>89</v>
      </c>
      <c r="D365" s="1">
        <v>45922</v>
      </c>
      <c r="E365" t="s">
        <v>1481</v>
      </c>
      <c r="F365" t="s">
        <v>1482</v>
      </c>
      <c r="G365" t="s">
        <v>28</v>
      </c>
      <c r="H365" t="s">
        <v>1483</v>
      </c>
      <c r="I365" t="s">
        <v>1484</v>
      </c>
      <c r="J365" t="s">
        <v>152</v>
      </c>
      <c r="K365" t="s">
        <v>1485</v>
      </c>
      <c r="L365">
        <v>56989190464</v>
      </c>
      <c r="M365" t="s">
        <v>33</v>
      </c>
      <c r="N365" t="s">
        <v>34</v>
      </c>
      <c r="O365" t="s">
        <v>35</v>
      </c>
      <c r="P365" t="s">
        <v>82</v>
      </c>
      <c r="Q365">
        <v>14570044437</v>
      </c>
      <c r="R365" t="s">
        <v>37</v>
      </c>
      <c r="S365" t="s">
        <v>137</v>
      </c>
      <c r="T365" t="s">
        <v>74</v>
      </c>
      <c r="U365" s="1">
        <v>45961</v>
      </c>
      <c r="W365" s="5">
        <f ca="1">+(TODAY()-Tabla2[[#This Row],[FECHA DE NACIMIENTO]])/360</f>
        <v>128.05833333333334</v>
      </c>
    </row>
    <row r="366" spans="1:23" x14ac:dyDescent="0.45">
      <c r="A366" t="s">
        <v>23</v>
      </c>
      <c r="B366" t="s">
        <v>388</v>
      </c>
      <c r="C366" t="s">
        <v>89</v>
      </c>
      <c r="D366" s="1">
        <v>45922</v>
      </c>
      <c r="E366" t="s">
        <v>1486</v>
      </c>
      <c r="F366" t="s">
        <v>1487</v>
      </c>
      <c r="G366" t="s">
        <v>28</v>
      </c>
      <c r="H366" t="s">
        <v>69</v>
      </c>
      <c r="I366" t="s">
        <v>1488</v>
      </c>
      <c r="J366" t="s">
        <v>834</v>
      </c>
      <c r="K366" t="s">
        <v>1489</v>
      </c>
      <c r="L366">
        <v>984947206</v>
      </c>
      <c r="M366" t="s">
        <v>33</v>
      </c>
      <c r="N366" t="s">
        <v>34</v>
      </c>
      <c r="O366" t="s">
        <v>58</v>
      </c>
      <c r="P366" t="s">
        <v>66</v>
      </c>
      <c r="Q366">
        <v>19485290</v>
      </c>
      <c r="R366" t="s">
        <v>37</v>
      </c>
      <c r="S366" t="s">
        <v>537</v>
      </c>
      <c r="T366" t="s">
        <v>74</v>
      </c>
      <c r="U366" s="1">
        <v>45991</v>
      </c>
      <c r="W366" s="5">
        <f ca="1">+(TODAY()-Tabla2[[#This Row],[FECHA DE NACIMIENTO]])/360</f>
        <v>128.05833333333334</v>
      </c>
    </row>
    <row r="367" spans="1:23" x14ac:dyDescent="0.45">
      <c r="A367" t="s">
        <v>1266</v>
      </c>
      <c r="B367" t="s">
        <v>1365</v>
      </c>
      <c r="C367" t="s">
        <v>89</v>
      </c>
      <c r="D367" s="1">
        <v>45922</v>
      </c>
      <c r="E367" t="s">
        <v>1490</v>
      </c>
      <c r="F367" t="s">
        <v>1491</v>
      </c>
      <c r="G367" t="s">
        <v>42</v>
      </c>
      <c r="H367" t="s">
        <v>1038</v>
      </c>
      <c r="I367" t="s">
        <v>1492</v>
      </c>
      <c r="J367" t="s">
        <v>699</v>
      </c>
      <c r="K367" t="s">
        <v>1493</v>
      </c>
      <c r="L367">
        <v>981704463</v>
      </c>
      <c r="M367" t="s">
        <v>81</v>
      </c>
      <c r="N367" t="s">
        <v>34</v>
      </c>
      <c r="O367" t="s">
        <v>58</v>
      </c>
      <c r="P367" t="s">
        <v>96</v>
      </c>
      <c r="Q367">
        <v>8414122</v>
      </c>
      <c r="R367" t="s">
        <v>37</v>
      </c>
      <c r="S367" t="s">
        <v>38</v>
      </c>
      <c r="T367" t="s">
        <v>39</v>
      </c>
      <c r="U367" s="1">
        <v>45991</v>
      </c>
      <c r="W367" s="5">
        <f ca="1">+(TODAY()-Tabla2[[#This Row],[FECHA DE NACIMIENTO]])/360</f>
        <v>128.05833333333334</v>
      </c>
    </row>
    <row r="368" spans="1:23" x14ac:dyDescent="0.45">
      <c r="A368" t="s">
        <v>1266</v>
      </c>
      <c r="B368" t="s">
        <v>1470</v>
      </c>
      <c r="C368" t="s">
        <v>89</v>
      </c>
      <c r="D368" s="1">
        <v>45922</v>
      </c>
      <c r="E368" t="s">
        <v>1494</v>
      </c>
      <c r="F368" t="s">
        <v>1495</v>
      </c>
      <c r="G368" t="s">
        <v>28</v>
      </c>
      <c r="H368" t="s">
        <v>302</v>
      </c>
      <c r="I368" t="s">
        <v>1496</v>
      </c>
      <c r="J368" t="s">
        <v>436</v>
      </c>
      <c r="K368" t="s">
        <v>1497</v>
      </c>
      <c r="L368">
        <v>992590587</v>
      </c>
      <c r="M368" t="s">
        <v>33</v>
      </c>
      <c r="N368" t="s">
        <v>34</v>
      </c>
      <c r="O368" t="s">
        <v>35</v>
      </c>
      <c r="P368" t="s">
        <v>36</v>
      </c>
      <c r="Q368">
        <v>75786034</v>
      </c>
      <c r="R368" t="s">
        <v>37</v>
      </c>
      <c r="S368" t="s">
        <v>38</v>
      </c>
      <c r="T368" t="s">
        <v>39</v>
      </c>
      <c r="U368" s="1">
        <v>45961</v>
      </c>
      <c r="W368" s="5">
        <f ca="1">+(TODAY()-Tabla2[[#This Row],[FECHA DE NACIMIENTO]])/360</f>
        <v>128.05833333333334</v>
      </c>
    </row>
    <row r="369" spans="1:23" x14ac:dyDescent="0.45">
      <c r="A369" t="s">
        <v>23</v>
      </c>
      <c r="B369" t="s">
        <v>88</v>
      </c>
      <c r="C369" t="s">
        <v>89</v>
      </c>
      <c r="D369" s="1">
        <v>45922</v>
      </c>
      <c r="E369" t="s">
        <v>1498</v>
      </c>
      <c r="F369" t="s">
        <v>1499</v>
      </c>
      <c r="G369" t="s">
        <v>42</v>
      </c>
      <c r="H369" t="s">
        <v>69</v>
      </c>
      <c r="I369" t="s">
        <v>582</v>
      </c>
      <c r="J369" t="s">
        <v>364</v>
      </c>
      <c r="K369" t="s">
        <v>1500</v>
      </c>
      <c r="L369">
        <v>923917650</v>
      </c>
      <c r="M369" t="s">
        <v>33</v>
      </c>
      <c r="N369" t="s">
        <v>34</v>
      </c>
      <c r="O369" t="s">
        <v>58</v>
      </c>
      <c r="P369" t="s">
        <v>66</v>
      </c>
      <c r="Q369">
        <v>20222301</v>
      </c>
      <c r="R369" t="s">
        <v>37</v>
      </c>
      <c r="S369" t="s">
        <v>38</v>
      </c>
      <c r="T369" t="s">
        <v>39</v>
      </c>
      <c r="U369" s="1">
        <v>45991</v>
      </c>
      <c r="W369" s="5">
        <f ca="1">+(TODAY()-Tabla2[[#This Row],[FECHA DE NACIMIENTO]])/360</f>
        <v>128.05833333333334</v>
      </c>
    </row>
    <row r="370" spans="1:23" x14ac:dyDescent="0.45">
      <c r="A370" t="s">
        <v>23</v>
      </c>
      <c r="B370" t="s">
        <v>88</v>
      </c>
      <c r="C370" t="s">
        <v>89</v>
      </c>
      <c r="D370" s="1">
        <v>45922</v>
      </c>
      <c r="E370" t="s">
        <v>447</v>
      </c>
      <c r="F370" t="s">
        <v>1501</v>
      </c>
      <c r="G370" t="s">
        <v>42</v>
      </c>
      <c r="H370" t="s">
        <v>1121</v>
      </c>
      <c r="I370" t="s">
        <v>449</v>
      </c>
      <c r="J370" t="s">
        <v>364</v>
      </c>
      <c r="K370" t="s">
        <v>1502</v>
      </c>
      <c r="L370">
        <v>991348702</v>
      </c>
      <c r="M370" t="s">
        <v>33</v>
      </c>
      <c r="N370" t="s">
        <v>34</v>
      </c>
      <c r="O370" t="s">
        <v>58</v>
      </c>
      <c r="P370" t="s">
        <v>66</v>
      </c>
      <c r="Q370">
        <v>157915517</v>
      </c>
      <c r="R370" t="s">
        <v>37</v>
      </c>
      <c r="S370" t="s">
        <v>38</v>
      </c>
      <c r="T370" t="s">
        <v>39</v>
      </c>
      <c r="U370" s="1">
        <v>45991</v>
      </c>
      <c r="W370" s="5">
        <f ca="1">+(TODAY()-Tabla2[[#This Row],[FECHA DE NACIMIENTO]])/360</f>
        <v>128.05833333333334</v>
      </c>
    </row>
    <row r="371" spans="1:23" x14ac:dyDescent="0.45">
      <c r="A371" t="s">
        <v>23</v>
      </c>
      <c r="B371" t="s">
        <v>88</v>
      </c>
      <c r="C371" t="s">
        <v>89</v>
      </c>
      <c r="D371" s="1">
        <v>45922</v>
      </c>
      <c r="E371" t="s">
        <v>1503</v>
      </c>
      <c r="F371" t="s">
        <v>1504</v>
      </c>
      <c r="G371" t="s">
        <v>42</v>
      </c>
      <c r="H371" t="s">
        <v>690</v>
      </c>
      <c r="I371" t="s">
        <v>1505</v>
      </c>
      <c r="J371" t="s">
        <v>94</v>
      </c>
      <c r="K371" t="s">
        <v>1506</v>
      </c>
      <c r="L371">
        <v>932896574</v>
      </c>
      <c r="M371" t="s">
        <v>33</v>
      </c>
      <c r="N371" t="s">
        <v>34</v>
      </c>
      <c r="O371" t="s">
        <v>35</v>
      </c>
      <c r="P371" t="s">
        <v>82</v>
      </c>
      <c r="Q371">
        <v>15160067054</v>
      </c>
      <c r="R371" t="s">
        <v>37</v>
      </c>
      <c r="S371" t="s">
        <v>38</v>
      </c>
      <c r="T371" t="s">
        <v>39</v>
      </c>
      <c r="U371" s="1">
        <v>45930</v>
      </c>
      <c r="W371" s="5">
        <f ca="1">+(TODAY()-Tabla2[[#This Row],[FECHA DE NACIMIENTO]])/360</f>
        <v>128.05833333333334</v>
      </c>
    </row>
    <row r="372" spans="1:23" x14ac:dyDescent="0.45">
      <c r="A372" t="s">
        <v>23</v>
      </c>
      <c r="B372" t="s">
        <v>24</v>
      </c>
      <c r="C372" t="s">
        <v>25</v>
      </c>
      <c r="D372" s="1">
        <v>45922</v>
      </c>
      <c r="E372" t="s">
        <v>1435</v>
      </c>
      <c r="F372" t="s">
        <v>1436</v>
      </c>
      <c r="G372" t="s">
        <v>28</v>
      </c>
      <c r="H372" t="s">
        <v>69</v>
      </c>
      <c r="I372" t="s">
        <v>1437</v>
      </c>
      <c r="J372" t="s">
        <v>692</v>
      </c>
      <c r="K372" t="s">
        <v>1438</v>
      </c>
      <c r="L372">
        <v>966073357</v>
      </c>
      <c r="M372" t="s">
        <v>33</v>
      </c>
      <c r="N372" t="s">
        <v>34</v>
      </c>
      <c r="O372" t="s">
        <v>58</v>
      </c>
      <c r="P372" t="s">
        <v>66</v>
      </c>
      <c r="Q372">
        <v>155331747</v>
      </c>
      <c r="R372" t="s">
        <v>37</v>
      </c>
      <c r="S372" t="s">
        <v>38</v>
      </c>
      <c r="T372" t="s">
        <v>39</v>
      </c>
      <c r="W372" s="5">
        <f ca="1">+(TODAY()-Tabla2[[#This Row],[FECHA DE NACIMIENTO]])/360</f>
        <v>128.05833333333334</v>
      </c>
    </row>
    <row r="373" spans="1:23" x14ac:dyDescent="0.45">
      <c r="A373" t="s">
        <v>23</v>
      </c>
      <c r="B373" t="s">
        <v>659</v>
      </c>
      <c r="C373" t="s">
        <v>89</v>
      </c>
      <c r="D373" s="1">
        <v>45677</v>
      </c>
      <c r="E373" t="s">
        <v>1507</v>
      </c>
      <c r="F373" t="s">
        <v>1508</v>
      </c>
      <c r="G373" t="s">
        <v>42</v>
      </c>
      <c r="H373" t="s">
        <v>1509</v>
      </c>
      <c r="I373" t="s">
        <v>1510</v>
      </c>
      <c r="J373" t="s">
        <v>393</v>
      </c>
      <c r="K373" t="s">
        <v>1511</v>
      </c>
      <c r="L373">
        <v>56992567574</v>
      </c>
      <c r="M373" t="s">
        <v>33</v>
      </c>
      <c r="N373" t="s">
        <v>57</v>
      </c>
      <c r="O373" t="s">
        <v>58</v>
      </c>
      <c r="P373" t="s">
        <v>48</v>
      </c>
      <c r="Q373">
        <v>804623263</v>
      </c>
      <c r="R373" t="s">
        <v>37</v>
      </c>
      <c r="S373" t="s">
        <v>38</v>
      </c>
      <c r="T373" t="s">
        <v>39</v>
      </c>
      <c r="W373" s="5">
        <f ca="1">+(TODAY()-Tabla2[[#This Row],[FECHA DE NACIMIENTO]])/360</f>
        <v>128.05833333333334</v>
      </c>
    </row>
    <row r="374" spans="1:23" x14ac:dyDescent="0.45">
      <c r="A374" t="s">
        <v>23</v>
      </c>
      <c r="B374" t="s">
        <v>659</v>
      </c>
      <c r="C374" t="s">
        <v>89</v>
      </c>
      <c r="D374" s="1">
        <v>46043</v>
      </c>
      <c r="E374" t="s">
        <v>1512</v>
      </c>
      <c r="F374" t="s">
        <v>1513</v>
      </c>
      <c r="G374" t="s">
        <v>42</v>
      </c>
      <c r="H374" t="s">
        <v>1514</v>
      </c>
      <c r="I374" t="s">
        <v>1515</v>
      </c>
      <c r="J374" t="s">
        <v>54</v>
      </c>
      <c r="K374" t="s">
        <v>1516</v>
      </c>
      <c r="L374">
        <v>948147349</v>
      </c>
      <c r="M374" t="s">
        <v>33</v>
      </c>
      <c r="N374" t="s">
        <v>34</v>
      </c>
      <c r="O374" t="s">
        <v>35</v>
      </c>
      <c r="P374" t="s">
        <v>82</v>
      </c>
      <c r="Q374">
        <v>19840569870</v>
      </c>
      <c r="R374" t="s">
        <v>37</v>
      </c>
      <c r="S374" t="s">
        <v>38</v>
      </c>
      <c r="T374" t="s">
        <v>39</v>
      </c>
      <c r="W374" s="5">
        <f ca="1">+(TODAY()-Tabla2[[#This Row],[FECHA DE NACIMIENTO]])/360</f>
        <v>128.05833333333334</v>
      </c>
    </row>
    <row r="375" spans="1:23" x14ac:dyDescent="0.45">
      <c r="A375" t="s">
        <v>23</v>
      </c>
      <c r="B375" t="s">
        <v>24</v>
      </c>
      <c r="C375" t="s">
        <v>25</v>
      </c>
      <c r="D375" s="1">
        <v>45931</v>
      </c>
      <c r="E375" t="s">
        <v>1517</v>
      </c>
      <c r="F375" t="s">
        <v>1518</v>
      </c>
      <c r="G375" t="s">
        <v>28</v>
      </c>
      <c r="H375" t="s">
        <v>1356</v>
      </c>
      <c r="I375" t="s">
        <v>1519</v>
      </c>
      <c r="J375" t="s">
        <v>94</v>
      </c>
      <c r="K375" t="s">
        <v>1520</v>
      </c>
      <c r="L375">
        <v>974322935</v>
      </c>
      <c r="M375" t="s">
        <v>33</v>
      </c>
      <c r="N375" t="s">
        <v>34</v>
      </c>
      <c r="O375" t="s">
        <v>58</v>
      </c>
      <c r="P375" t="s">
        <v>130</v>
      </c>
      <c r="Q375">
        <v>210820212</v>
      </c>
      <c r="R375" t="s">
        <v>60</v>
      </c>
      <c r="S375" t="s">
        <v>38</v>
      </c>
      <c r="T375" t="s">
        <v>39</v>
      </c>
      <c r="W375" s="5">
        <f ca="1">+(TODAY()-Tabla2[[#This Row],[FECHA DE NACIMIENTO]])/360</f>
        <v>128.05833333333334</v>
      </c>
    </row>
    <row r="376" spans="1:23" x14ac:dyDescent="0.45">
      <c r="A376" t="s">
        <v>23</v>
      </c>
      <c r="B376" t="s">
        <v>659</v>
      </c>
      <c r="C376" t="s">
        <v>89</v>
      </c>
      <c r="D376" s="1">
        <v>46043</v>
      </c>
      <c r="E376" t="s">
        <v>1521</v>
      </c>
      <c r="F376" t="s">
        <v>1522</v>
      </c>
      <c r="G376" t="s">
        <v>42</v>
      </c>
      <c r="H376" t="s">
        <v>1523</v>
      </c>
      <c r="I376" t="s">
        <v>1524</v>
      </c>
      <c r="J376" t="s">
        <v>215</v>
      </c>
      <c r="K376" t="s">
        <v>1525</v>
      </c>
      <c r="L376">
        <v>950418074</v>
      </c>
      <c r="M376" t="s">
        <v>33</v>
      </c>
      <c r="N376" t="s">
        <v>34</v>
      </c>
      <c r="O376" t="s">
        <v>58</v>
      </c>
      <c r="P376" t="s">
        <v>66</v>
      </c>
      <c r="Q376">
        <v>166376009</v>
      </c>
      <c r="R376" t="s">
        <v>37</v>
      </c>
      <c r="S376" t="s">
        <v>38</v>
      </c>
      <c r="T376" t="s">
        <v>39</v>
      </c>
      <c r="W376" s="5">
        <f ca="1">+(TODAY()-Tabla2[[#This Row],[FECHA DE NACIMIENTO]])/360</f>
        <v>128.05833333333334</v>
      </c>
    </row>
    <row r="377" spans="1:23" x14ac:dyDescent="0.45">
      <c r="A377" t="s">
        <v>23</v>
      </c>
      <c r="B377" t="s">
        <v>24</v>
      </c>
      <c r="C377" t="s">
        <v>25</v>
      </c>
      <c r="D377" s="1">
        <v>45931</v>
      </c>
      <c r="E377" t="s">
        <v>707</v>
      </c>
      <c r="F377" t="s">
        <v>1526</v>
      </c>
      <c r="G377" t="s">
        <v>42</v>
      </c>
      <c r="H377" t="s">
        <v>89</v>
      </c>
      <c r="I377" t="s">
        <v>1527</v>
      </c>
      <c r="J377" t="s">
        <v>94</v>
      </c>
      <c r="K377" t="s">
        <v>710</v>
      </c>
      <c r="L377">
        <v>945356300</v>
      </c>
      <c r="M377" t="s">
        <v>33</v>
      </c>
      <c r="N377" t="s">
        <v>34</v>
      </c>
      <c r="O377" t="s">
        <v>58</v>
      </c>
      <c r="P377" t="s">
        <v>66</v>
      </c>
      <c r="Q377">
        <v>16877597</v>
      </c>
      <c r="R377" t="s">
        <v>60</v>
      </c>
      <c r="S377" t="s">
        <v>38</v>
      </c>
      <c r="T377" t="s">
        <v>39</v>
      </c>
      <c r="W377" s="5">
        <f ca="1">+(TODAY()-Tabla2[[#This Row],[FECHA DE NACIMIENTO]])/360</f>
        <v>128.05833333333334</v>
      </c>
    </row>
    <row r="378" spans="1:23" x14ac:dyDescent="0.45">
      <c r="A378" t="s">
        <v>23</v>
      </c>
      <c r="B378" t="s">
        <v>24</v>
      </c>
      <c r="C378" t="s">
        <v>25</v>
      </c>
      <c r="D378" s="1">
        <v>45931</v>
      </c>
      <c r="E378" t="s">
        <v>1528</v>
      </c>
      <c r="F378" t="s">
        <v>1529</v>
      </c>
      <c r="G378" t="s">
        <v>28</v>
      </c>
      <c r="H378" t="s">
        <v>140</v>
      </c>
      <c r="I378" t="s">
        <v>1530</v>
      </c>
      <c r="J378" t="s">
        <v>204</v>
      </c>
      <c r="K378" t="s">
        <v>1531</v>
      </c>
      <c r="L378">
        <v>56973284651</v>
      </c>
      <c r="M378" t="s">
        <v>34</v>
      </c>
      <c r="N378" t="s">
        <v>56</v>
      </c>
      <c r="O378" t="s">
        <v>35</v>
      </c>
      <c r="P378" t="s">
        <v>82</v>
      </c>
      <c r="Q378">
        <v>19994793365</v>
      </c>
      <c r="R378" t="s">
        <v>60</v>
      </c>
      <c r="S378" t="s">
        <v>137</v>
      </c>
      <c r="T378" t="s">
        <v>74</v>
      </c>
      <c r="W378" s="5">
        <f ca="1">+(TODAY()-Tabla2[[#This Row],[FECHA DE NACIMIENTO]])/360</f>
        <v>128.05833333333334</v>
      </c>
    </row>
    <row r="379" spans="1:23" x14ac:dyDescent="0.45">
      <c r="A379" t="s">
        <v>23</v>
      </c>
      <c r="B379" t="s">
        <v>1532</v>
      </c>
      <c r="C379" t="s">
        <v>89</v>
      </c>
      <c r="D379" s="1">
        <v>45939</v>
      </c>
      <c r="E379" t="s">
        <v>1533</v>
      </c>
      <c r="F379" t="s">
        <v>1534</v>
      </c>
      <c r="G379" t="s">
        <v>28</v>
      </c>
      <c r="H379" t="s">
        <v>1535</v>
      </c>
      <c r="I379" t="s">
        <v>1536</v>
      </c>
      <c r="J379" t="s">
        <v>516</v>
      </c>
      <c r="K379" t="s">
        <v>1537</v>
      </c>
      <c r="L379">
        <v>975574275</v>
      </c>
      <c r="M379" t="s">
        <v>34</v>
      </c>
      <c r="N379" t="s">
        <v>33</v>
      </c>
      <c r="O379" t="s">
        <v>58</v>
      </c>
      <c r="P379" t="s">
        <v>66</v>
      </c>
      <c r="Q379">
        <v>15447739</v>
      </c>
      <c r="R379" t="s">
        <v>37</v>
      </c>
      <c r="S379" t="s">
        <v>38</v>
      </c>
      <c r="T379" t="s">
        <v>89</v>
      </c>
      <c r="W379" s="5">
        <f ca="1">+(TODAY()-Tabla2[[#This Row],[FECHA DE NACIMIENTO]])/360</f>
        <v>128.05833333333334</v>
      </c>
    </row>
    <row r="380" spans="1:23" x14ac:dyDescent="0.45">
      <c r="A380" t="s">
        <v>23</v>
      </c>
      <c r="B380" t="s">
        <v>777</v>
      </c>
      <c r="C380" t="s">
        <v>89</v>
      </c>
      <c r="D380" s="1">
        <v>45939</v>
      </c>
      <c r="E380" t="s">
        <v>1538</v>
      </c>
      <c r="F380" t="s">
        <v>1539</v>
      </c>
      <c r="G380" t="s">
        <v>42</v>
      </c>
      <c r="H380" t="s">
        <v>89</v>
      </c>
      <c r="I380" t="s">
        <v>1540</v>
      </c>
      <c r="J380" t="s">
        <v>158</v>
      </c>
      <c r="K380" t="s">
        <v>1541</v>
      </c>
      <c r="L380">
        <v>963063999</v>
      </c>
      <c r="M380" t="s">
        <v>34</v>
      </c>
      <c r="N380" t="s">
        <v>33</v>
      </c>
      <c r="O380" t="s">
        <v>35</v>
      </c>
      <c r="P380" t="s">
        <v>130</v>
      </c>
      <c r="Q380">
        <v>987604751</v>
      </c>
      <c r="R380" t="s">
        <v>60</v>
      </c>
      <c r="S380" t="s">
        <v>38</v>
      </c>
      <c r="T380" t="s">
        <v>39</v>
      </c>
      <c r="W380" s="5">
        <f ca="1">+(TODAY()-Tabla2[[#This Row],[FECHA DE NACIMIENTO]])/360</f>
        <v>128.05833333333334</v>
      </c>
    </row>
    <row r="381" spans="1:23" x14ac:dyDescent="0.45">
      <c r="A381" t="s">
        <v>23</v>
      </c>
      <c r="B381" t="s">
        <v>1532</v>
      </c>
      <c r="C381" t="s">
        <v>89</v>
      </c>
      <c r="D381" s="1">
        <v>45939</v>
      </c>
      <c r="E381" t="s">
        <v>1542</v>
      </c>
      <c r="F381" t="s">
        <v>1543</v>
      </c>
      <c r="G381" t="s">
        <v>42</v>
      </c>
      <c r="H381" t="s">
        <v>89</v>
      </c>
      <c r="I381" t="s">
        <v>1544</v>
      </c>
      <c r="J381" t="s">
        <v>94</v>
      </c>
      <c r="K381" t="s">
        <v>1545</v>
      </c>
      <c r="L381">
        <v>56978006813</v>
      </c>
      <c r="M381" t="s">
        <v>34</v>
      </c>
      <c r="N381" t="s">
        <v>33</v>
      </c>
      <c r="O381" t="s">
        <v>35</v>
      </c>
      <c r="P381" t="s">
        <v>82</v>
      </c>
      <c r="Q381">
        <v>19820463855</v>
      </c>
      <c r="R381" t="s">
        <v>37</v>
      </c>
      <c r="S381" t="s">
        <v>38</v>
      </c>
      <c r="T381" t="s">
        <v>39</v>
      </c>
      <c r="W381" s="5">
        <f ca="1">+(TODAY()-Tabla2[[#This Row],[FECHA DE NACIMIENTO]])/360</f>
        <v>128.05833333333334</v>
      </c>
    </row>
    <row r="382" spans="1:23" x14ac:dyDescent="0.45">
      <c r="A382" t="s">
        <v>23</v>
      </c>
      <c r="B382" t="s">
        <v>632</v>
      </c>
      <c r="C382" t="s">
        <v>633</v>
      </c>
      <c r="D382" s="1">
        <v>45939</v>
      </c>
      <c r="E382" t="s">
        <v>1546</v>
      </c>
      <c r="F382" t="s">
        <v>1547</v>
      </c>
      <c r="G382" t="s">
        <v>42</v>
      </c>
      <c r="H382" t="s">
        <v>69</v>
      </c>
      <c r="I382" t="s">
        <v>1548</v>
      </c>
      <c r="J382" t="s">
        <v>215</v>
      </c>
      <c r="K382" t="s">
        <v>1549</v>
      </c>
      <c r="L382">
        <v>921829614</v>
      </c>
      <c r="M382" t="s">
        <v>33</v>
      </c>
      <c r="N382" t="s">
        <v>34</v>
      </c>
      <c r="O382" t="s">
        <v>35</v>
      </c>
      <c r="P382" t="s">
        <v>82</v>
      </c>
      <c r="Q382">
        <v>19831428900</v>
      </c>
      <c r="R382" t="s">
        <v>60</v>
      </c>
      <c r="S382" t="s">
        <v>38</v>
      </c>
      <c r="T382" t="s">
        <v>89</v>
      </c>
      <c r="U382" s="1">
        <v>46022</v>
      </c>
      <c r="W382" s="5">
        <f ca="1">+(TODAY()-Tabla2[[#This Row],[FECHA DE NACIMIENTO]])/360</f>
        <v>128.05833333333334</v>
      </c>
    </row>
    <row r="383" spans="1:23" x14ac:dyDescent="0.45">
      <c r="A383" t="s">
        <v>23</v>
      </c>
      <c r="B383" t="s">
        <v>632</v>
      </c>
      <c r="C383" t="s">
        <v>633</v>
      </c>
      <c r="D383" s="1">
        <v>45939</v>
      </c>
      <c r="E383" t="s">
        <v>1550</v>
      </c>
      <c r="F383" t="s">
        <v>1551</v>
      </c>
      <c r="G383" t="s">
        <v>42</v>
      </c>
      <c r="H383" t="s">
        <v>1121</v>
      </c>
      <c r="I383" t="s">
        <v>1552</v>
      </c>
      <c r="J383" t="s">
        <v>516</v>
      </c>
      <c r="K383" t="s">
        <v>1553</v>
      </c>
      <c r="L383">
        <v>920870622</v>
      </c>
      <c r="M383" t="s">
        <v>33</v>
      </c>
      <c r="N383" t="s">
        <v>57</v>
      </c>
      <c r="O383" t="s">
        <v>58</v>
      </c>
      <c r="P383" t="s">
        <v>36</v>
      </c>
      <c r="Q383">
        <v>5626180199</v>
      </c>
      <c r="R383" t="s">
        <v>60</v>
      </c>
      <c r="S383" t="s">
        <v>38</v>
      </c>
      <c r="T383" t="s">
        <v>39</v>
      </c>
      <c r="W383" s="5">
        <f ca="1">+(TODAY()-Tabla2[[#This Row],[FECHA DE NACIMIENTO]])/360</f>
        <v>128.05833333333334</v>
      </c>
    </row>
    <row r="384" spans="1:23" x14ac:dyDescent="0.45">
      <c r="A384" t="s">
        <v>23</v>
      </c>
      <c r="B384" t="s">
        <v>659</v>
      </c>
      <c r="C384" t="s">
        <v>89</v>
      </c>
      <c r="D384" s="1">
        <v>45939</v>
      </c>
      <c r="E384" t="s">
        <v>1554</v>
      </c>
      <c r="F384" t="s">
        <v>1555</v>
      </c>
      <c r="G384" t="s">
        <v>42</v>
      </c>
      <c r="H384" t="s">
        <v>69</v>
      </c>
      <c r="I384" t="s">
        <v>1556</v>
      </c>
      <c r="J384" t="s">
        <v>31</v>
      </c>
      <c r="K384" t="s">
        <v>1557</v>
      </c>
      <c r="L384">
        <v>978691114</v>
      </c>
      <c r="M384" t="s">
        <v>81</v>
      </c>
      <c r="N384" t="s">
        <v>34</v>
      </c>
      <c r="O384" t="s">
        <v>58</v>
      </c>
      <c r="P384" t="s">
        <v>66</v>
      </c>
      <c r="Q384">
        <v>12856739</v>
      </c>
      <c r="R384" t="s">
        <v>37</v>
      </c>
      <c r="S384" t="s">
        <v>38</v>
      </c>
      <c r="T384" t="s">
        <v>39</v>
      </c>
      <c r="U384" s="1">
        <v>45991</v>
      </c>
      <c r="W384" s="5">
        <f ca="1">+(TODAY()-Tabla2[[#This Row],[FECHA DE NACIMIENTO]])/360</f>
        <v>128.05833333333334</v>
      </c>
    </row>
    <row r="385" spans="1:23" x14ac:dyDescent="0.45">
      <c r="A385" t="s">
        <v>23</v>
      </c>
      <c r="B385" t="s">
        <v>659</v>
      </c>
      <c r="C385" t="s">
        <v>89</v>
      </c>
      <c r="D385" s="1">
        <v>45939</v>
      </c>
      <c r="E385" t="s">
        <v>1558</v>
      </c>
      <c r="F385" t="s">
        <v>1559</v>
      </c>
      <c r="G385" t="s">
        <v>42</v>
      </c>
      <c r="H385" t="s">
        <v>1560</v>
      </c>
      <c r="I385" t="s">
        <v>1561</v>
      </c>
      <c r="J385" t="s">
        <v>94</v>
      </c>
      <c r="K385" t="s">
        <v>1562</v>
      </c>
      <c r="L385">
        <v>953944974</v>
      </c>
      <c r="M385" t="s">
        <v>33</v>
      </c>
      <c r="N385" t="s">
        <v>536</v>
      </c>
      <c r="O385" t="s">
        <v>58</v>
      </c>
      <c r="P385" t="s">
        <v>66</v>
      </c>
      <c r="Q385">
        <v>22589501</v>
      </c>
      <c r="R385" t="s">
        <v>37</v>
      </c>
      <c r="S385" t="s">
        <v>38</v>
      </c>
      <c r="T385" t="s">
        <v>39</v>
      </c>
      <c r="W385" s="5">
        <f ca="1">+(TODAY()-Tabla2[[#This Row],[FECHA DE NACIMIENTO]])/360</f>
        <v>128.05833333333334</v>
      </c>
    </row>
    <row r="386" spans="1:23" x14ac:dyDescent="0.45">
      <c r="A386" t="s">
        <v>23</v>
      </c>
      <c r="B386" t="s">
        <v>632</v>
      </c>
      <c r="C386" t="s">
        <v>633</v>
      </c>
      <c r="D386" s="1">
        <v>45939</v>
      </c>
      <c r="E386" t="s">
        <v>1563</v>
      </c>
      <c r="F386" t="s">
        <v>1564</v>
      </c>
      <c r="G386" t="s">
        <v>42</v>
      </c>
      <c r="H386" t="s">
        <v>1565</v>
      </c>
      <c r="I386" t="s">
        <v>1566</v>
      </c>
      <c r="J386" t="s">
        <v>165</v>
      </c>
      <c r="K386" t="s">
        <v>1567</v>
      </c>
      <c r="L386">
        <v>972778966</v>
      </c>
      <c r="M386" t="s">
        <v>33</v>
      </c>
      <c r="N386" t="s">
        <v>34</v>
      </c>
      <c r="O386" t="s">
        <v>35</v>
      </c>
      <c r="P386" t="s">
        <v>82</v>
      </c>
      <c r="Q386">
        <v>19820281800</v>
      </c>
      <c r="R386" t="s">
        <v>60</v>
      </c>
      <c r="S386" t="s">
        <v>38</v>
      </c>
      <c r="T386" t="s">
        <v>39</v>
      </c>
      <c r="U386" s="1">
        <v>45961</v>
      </c>
      <c r="W386" s="5">
        <f ca="1">+(TODAY()-Tabla2[[#This Row],[FECHA DE NACIMIENTO]])/360</f>
        <v>128.05833333333334</v>
      </c>
    </row>
    <row r="387" spans="1:23" x14ac:dyDescent="0.45">
      <c r="A387" t="s">
        <v>23</v>
      </c>
      <c r="B387" t="s">
        <v>659</v>
      </c>
      <c r="C387" t="s">
        <v>89</v>
      </c>
      <c r="D387" s="1">
        <v>45939</v>
      </c>
      <c r="E387" t="s">
        <v>1568</v>
      </c>
      <c r="F387" t="s">
        <v>1569</v>
      </c>
      <c r="G387" t="s">
        <v>42</v>
      </c>
      <c r="H387" t="s">
        <v>314</v>
      </c>
      <c r="I387" t="s">
        <v>1570</v>
      </c>
      <c r="J387" t="s">
        <v>142</v>
      </c>
      <c r="K387" t="s">
        <v>1571</v>
      </c>
      <c r="L387">
        <v>964246529</v>
      </c>
      <c r="M387" t="s">
        <v>81</v>
      </c>
      <c r="N387" t="s">
        <v>34</v>
      </c>
      <c r="O387" t="s">
        <v>58</v>
      </c>
      <c r="P387" t="s">
        <v>66</v>
      </c>
      <c r="Q387">
        <v>141738011</v>
      </c>
      <c r="R387" t="s">
        <v>37</v>
      </c>
      <c r="S387" t="s">
        <v>38</v>
      </c>
      <c r="T387" t="s">
        <v>39</v>
      </c>
      <c r="U387" s="1">
        <v>45991</v>
      </c>
      <c r="W387" s="5">
        <f ca="1">+(TODAY()-Tabla2[[#This Row],[FECHA DE NACIMIENTO]])/360</f>
        <v>128.05833333333334</v>
      </c>
    </row>
    <row r="388" spans="1:23" x14ac:dyDescent="0.45">
      <c r="A388" t="s">
        <v>23</v>
      </c>
      <c r="B388" t="s">
        <v>659</v>
      </c>
      <c r="C388" t="s">
        <v>89</v>
      </c>
      <c r="D388" s="1">
        <v>45939</v>
      </c>
      <c r="E388" t="s">
        <v>1572</v>
      </c>
      <c r="F388" t="s">
        <v>1573</v>
      </c>
      <c r="G388" t="s">
        <v>42</v>
      </c>
      <c r="H388" t="s">
        <v>327</v>
      </c>
      <c r="I388" t="s">
        <v>1574</v>
      </c>
      <c r="J388" t="s">
        <v>229</v>
      </c>
      <c r="K388" t="s">
        <v>1575</v>
      </c>
      <c r="L388">
        <v>947918009</v>
      </c>
      <c r="M388" t="s">
        <v>33</v>
      </c>
      <c r="N388" t="s">
        <v>34</v>
      </c>
      <c r="O388" t="s">
        <v>58</v>
      </c>
      <c r="P388" t="s">
        <v>66</v>
      </c>
      <c r="Q388">
        <v>22547471</v>
      </c>
      <c r="R388" t="s">
        <v>37</v>
      </c>
      <c r="S388" t="s">
        <v>38</v>
      </c>
      <c r="T388" t="s">
        <v>89</v>
      </c>
      <c r="W388" s="5">
        <f ca="1">+(TODAY()-Tabla2[[#This Row],[FECHA DE NACIMIENTO]])/360</f>
        <v>128.05833333333334</v>
      </c>
    </row>
    <row r="389" spans="1:23" x14ac:dyDescent="0.45">
      <c r="A389" t="s">
        <v>23</v>
      </c>
      <c r="B389" t="s">
        <v>632</v>
      </c>
      <c r="C389" t="s">
        <v>633</v>
      </c>
      <c r="D389" s="1">
        <v>45939</v>
      </c>
      <c r="E389" t="s">
        <v>1576</v>
      </c>
      <c r="F389" t="s">
        <v>1577</v>
      </c>
      <c r="G389" t="s">
        <v>28</v>
      </c>
      <c r="H389" t="s">
        <v>957</v>
      </c>
      <c r="I389" t="s">
        <v>1578</v>
      </c>
      <c r="J389" t="s">
        <v>455</v>
      </c>
      <c r="K389" t="s">
        <v>1579</v>
      </c>
      <c r="L389">
        <v>990592774</v>
      </c>
      <c r="M389" t="s">
        <v>33</v>
      </c>
      <c r="N389" t="s">
        <v>34</v>
      </c>
      <c r="O389" t="s">
        <v>58</v>
      </c>
      <c r="P389" t="s">
        <v>48</v>
      </c>
      <c r="Q389">
        <v>50524339</v>
      </c>
      <c r="R389" t="s">
        <v>37</v>
      </c>
      <c r="S389" t="s">
        <v>137</v>
      </c>
      <c r="T389" t="s">
        <v>39</v>
      </c>
      <c r="U389" s="1">
        <v>45991</v>
      </c>
      <c r="W389" s="5">
        <f ca="1">+(TODAY()-Tabla2[[#This Row],[FECHA DE NACIMIENTO]])/360</f>
        <v>128.05833333333334</v>
      </c>
    </row>
    <row r="390" spans="1:23" x14ac:dyDescent="0.45">
      <c r="A390" t="s">
        <v>1266</v>
      </c>
      <c r="B390" t="s">
        <v>1365</v>
      </c>
      <c r="C390" t="s">
        <v>89</v>
      </c>
      <c r="D390" s="1">
        <v>45939</v>
      </c>
      <c r="E390" t="s">
        <v>1580</v>
      </c>
      <c r="F390" t="s">
        <v>1581</v>
      </c>
      <c r="G390" t="s">
        <v>42</v>
      </c>
      <c r="H390" t="s">
        <v>1582</v>
      </c>
      <c r="I390" t="s">
        <v>1583</v>
      </c>
      <c r="J390" t="s">
        <v>54</v>
      </c>
      <c r="K390" t="s">
        <v>1584</v>
      </c>
      <c r="L390">
        <v>957584185</v>
      </c>
      <c r="M390" t="s">
        <v>33</v>
      </c>
      <c r="N390" t="s">
        <v>34</v>
      </c>
      <c r="O390" t="s">
        <v>35</v>
      </c>
      <c r="P390" t="s">
        <v>96</v>
      </c>
      <c r="Q390">
        <v>777916750246</v>
      </c>
      <c r="R390" t="s">
        <v>37</v>
      </c>
      <c r="S390" t="s">
        <v>38</v>
      </c>
      <c r="T390" t="s">
        <v>39</v>
      </c>
      <c r="U390" s="1">
        <v>45777</v>
      </c>
      <c r="W390" s="5">
        <f ca="1">+(TODAY()-Tabla2[[#This Row],[FECHA DE NACIMIENTO]])/360</f>
        <v>128.05833333333334</v>
      </c>
    </row>
    <row r="391" spans="1:23" x14ac:dyDescent="0.45">
      <c r="A391" t="s">
        <v>23</v>
      </c>
      <c r="B391" t="s">
        <v>632</v>
      </c>
      <c r="C391" t="s">
        <v>633</v>
      </c>
      <c r="D391" s="1">
        <v>45939</v>
      </c>
      <c r="E391" t="s">
        <v>772</v>
      </c>
      <c r="F391" t="s">
        <v>773</v>
      </c>
      <c r="G391" t="s">
        <v>28</v>
      </c>
      <c r="H391" t="s">
        <v>69</v>
      </c>
      <c r="I391" t="s">
        <v>1585</v>
      </c>
      <c r="J391" t="s">
        <v>142</v>
      </c>
      <c r="K391" t="s">
        <v>776</v>
      </c>
      <c r="L391">
        <v>56971405893</v>
      </c>
      <c r="M391" t="s">
        <v>56</v>
      </c>
      <c r="N391" t="s">
        <v>34</v>
      </c>
      <c r="O391" t="s">
        <v>58</v>
      </c>
      <c r="P391" t="s">
        <v>66</v>
      </c>
      <c r="Q391">
        <v>13896930</v>
      </c>
      <c r="R391" t="s">
        <v>60</v>
      </c>
      <c r="S391" t="s">
        <v>38</v>
      </c>
      <c r="T391" t="s">
        <v>89</v>
      </c>
      <c r="W391" s="5">
        <f ca="1">+(TODAY()-Tabla2[[#This Row],[FECHA DE NACIMIENTO]])/360</f>
        <v>128.05833333333334</v>
      </c>
    </row>
    <row r="392" spans="1:23" x14ac:dyDescent="0.45">
      <c r="A392" t="s">
        <v>23</v>
      </c>
      <c r="B392" t="s">
        <v>1532</v>
      </c>
      <c r="C392" t="s">
        <v>89</v>
      </c>
      <c r="D392" s="1">
        <v>45939</v>
      </c>
      <c r="E392" t="s">
        <v>1586</v>
      </c>
      <c r="F392" t="s">
        <v>1587</v>
      </c>
      <c r="G392" t="s">
        <v>42</v>
      </c>
      <c r="H392" t="s">
        <v>89</v>
      </c>
      <c r="I392" t="s">
        <v>1588</v>
      </c>
      <c r="J392" t="s">
        <v>94</v>
      </c>
      <c r="K392" t="s">
        <v>1589</v>
      </c>
      <c r="L392">
        <v>56948691046</v>
      </c>
      <c r="M392" t="s">
        <v>33</v>
      </c>
      <c r="N392" t="s">
        <v>34</v>
      </c>
      <c r="O392" t="s">
        <v>58</v>
      </c>
      <c r="P392" t="s">
        <v>36</v>
      </c>
      <c r="Q392">
        <v>1714020354</v>
      </c>
      <c r="R392" t="s">
        <v>37</v>
      </c>
      <c r="S392" t="s">
        <v>38</v>
      </c>
      <c r="T392" t="s">
        <v>39</v>
      </c>
      <c r="W392" s="5">
        <f ca="1">+(TODAY()-Tabla2[[#This Row],[FECHA DE NACIMIENTO]])/360</f>
        <v>128.05833333333334</v>
      </c>
    </row>
    <row r="393" spans="1:23" x14ac:dyDescent="0.45">
      <c r="A393" t="s">
        <v>23</v>
      </c>
      <c r="B393" t="s">
        <v>659</v>
      </c>
      <c r="C393" t="s">
        <v>89</v>
      </c>
      <c r="D393" s="1">
        <v>46097</v>
      </c>
      <c r="E393" t="s">
        <v>1590</v>
      </c>
      <c r="F393" t="s">
        <v>646</v>
      </c>
      <c r="G393" t="s">
        <v>28</v>
      </c>
      <c r="H393" t="s">
        <v>1591</v>
      </c>
      <c r="I393" t="s">
        <v>1592</v>
      </c>
      <c r="J393" t="s">
        <v>204</v>
      </c>
      <c r="K393" t="s">
        <v>1593</v>
      </c>
      <c r="L393">
        <v>961234262</v>
      </c>
      <c r="M393" t="s">
        <v>56</v>
      </c>
      <c r="N393" t="s">
        <v>34</v>
      </c>
      <c r="O393" t="s">
        <v>58</v>
      </c>
      <c r="P393" t="s">
        <v>96</v>
      </c>
      <c r="Q393">
        <v>16283422</v>
      </c>
      <c r="R393" t="s">
        <v>60</v>
      </c>
      <c r="S393" t="s">
        <v>38</v>
      </c>
      <c r="T393" t="s">
        <v>39</v>
      </c>
      <c r="U393" s="1">
        <v>46022</v>
      </c>
      <c r="W393" s="5">
        <f ca="1">+(TODAY()-Tabla2[[#This Row],[FECHA DE NACIMIENTO]])/360</f>
        <v>128.05833333333334</v>
      </c>
    </row>
    <row r="394" spans="1:23" x14ac:dyDescent="0.45">
      <c r="A394" t="s">
        <v>645</v>
      </c>
      <c r="B394" t="s">
        <v>666</v>
      </c>
      <c r="C394" t="s">
        <v>89</v>
      </c>
      <c r="D394" s="1">
        <v>45939</v>
      </c>
      <c r="E394" t="s">
        <v>1594</v>
      </c>
      <c r="F394" t="s">
        <v>1595</v>
      </c>
      <c r="G394" t="s">
        <v>42</v>
      </c>
      <c r="H394" t="s">
        <v>1596</v>
      </c>
      <c r="I394" t="s">
        <v>1597</v>
      </c>
      <c r="J394" t="s">
        <v>834</v>
      </c>
      <c r="K394" t="s">
        <v>1598</v>
      </c>
      <c r="L394">
        <v>990874056</v>
      </c>
      <c r="M394" t="s">
        <v>33</v>
      </c>
      <c r="N394" t="s">
        <v>34</v>
      </c>
      <c r="O394" t="s">
        <v>35</v>
      </c>
      <c r="P394" t="s">
        <v>82</v>
      </c>
      <c r="Q394">
        <v>19831241604</v>
      </c>
      <c r="R394" t="s">
        <v>37</v>
      </c>
      <c r="S394" t="s">
        <v>38</v>
      </c>
      <c r="T394" t="s">
        <v>39</v>
      </c>
      <c r="U394" s="1">
        <v>46022</v>
      </c>
      <c r="W394" s="5">
        <f ca="1">+(TODAY()-Tabla2[[#This Row],[FECHA DE NACIMIENTO]])/360</f>
        <v>128.05833333333334</v>
      </c>
    </row>
    <row r="395" spans="1:23" x14ac:dyDescent="0.45">
      <c r="A395" t="s">
        <v>23</v>
      </c>
      <c r="B395" t="s">
        <v>1599</v>
      </c>
      <c r="C395" t="s">
        <v>89</v>
      </c>
      <c r="D395" s="1">
        <v>45939</v>
      </c>
      <c r="E395" t="s">
        <v>1600</v>
      </c>
      <c r="F395" t="s">
        <v>1601</v>
      </c>
      <c r="G395" t="s">
        <v>42</v>
      </c>
      <c r="H395" t="s">
        <v>1602</v>
      </c>
      <c r="I395" t="s">
        <v>1603</v>
      </c>
      <c r="J395" t="s">
        <v>204</v>
      </c>
      <c r="K395" t="s">
        <v>1604</v>
      </c>
      <c r="L395">
        <v>936372959</v>
      </c>
      <c r="M395" t="s">
        <v>56</v>
      </c>
      <c r="N395" t="s">
        <v>57</v>
      </c>
      <c r="O395" t="s">
        <v>58</v>
      </c>
      <c r="P395" t="s">
        <v>66</v>
      </c>
      <c r="Q395">
        <v>26249017</v>
      </c>
      <c r="R395" t="s">
        <v>37</v>
      </c>
      <c r="S395" t="s">
        <v>137</v>
      </c>
      <c r="T395" t="s">
        <v>39</v>
      </c>
      <c r="U395" s="1">
        <v>45991</v>
      </c>
      <c r="W395" s="5">
        <f ca="1">+(TODAY()-Tabla2[[#This Row],[FECHA DE NACIMIENTO]])/360</f>
        <v>128.05833333333334</v>
      </c>
    </row>
    <row r="396" spans="1:23" x14ac:dyDescent="0.45">
      <c r="A396" t="s">
        <v>1266</v>
      </c>
      <c r="B396" t="s">
        <v>1359</v>
      </c>
      <c r="C396" t="s">
        <v>89</v>
      </c>
      <c r="D396" s="1">
        <v>45939</v>
      </c>
      <c r="E396" t="s">
        <v>1605</v>
      </c>
      <c r="F396" t="s">
        <v>1606</v>
      </c>
      <c r="G396" t="s">
        <v>42</v>
      </c>
      <c r="H396" t="s">
        <v>1086</v>
      </c>
      <c r="I396" t="s">
        <v>1607</v>
      </c>
      <c r="J396" t="s">
        <v>375</v>
      </c>
      <c r="K396" t="s">
        <v>1608</v>
      </c>
      <c r="L396">
        <v>56934927838</v>
      </c>
      <c r="M396" t="s">
        <v>81</v>
      </c>
      <c r="N396" t="s">
        <v>34</v>
      </c>
      <c r="O396" t="s">
        <v>35</v>
      </c>
      <c r="P396" t="s">
        <v>82</v>
      </c>
      <c r="Q396">
        <v>19800562130</v>
      </c>
      <c r="R396" t="s">
        <v>37</v>
      </c>
      <c r="S396" t="s">
        <v>137</v>
      </c>
      <c r="T396" t="s">
        <v>39</v>
      </c>
      <c r="U396" s="1">
        <v>45991</v>
      </c>
      <c r="W396" s="5">
        <f ca="1">+(TODAY()-Tabla2[[#This Row],[FECHA DE NACIMIENTO]])/360</f>
        <v>128.05833333333334</v>
      </c>
    </row>
    <row r="397" spans="1:23" x14ac:dyDescent="0.45">
      <c r="A397" t="s">
        <v>1266</v>
      </c>
      <c r="B397" t="s">
        <v>1359</v>
      </c>
      <c r="C397" t="s">
        <v>89</v>
      </c>
      <c r="D397" s="1">
        <v>45939</v>
      </c>
      <c r="E397" t="s">
        <v>1609</v>
      </c>
      <c r="F397" t="s">
        <v>1610</v>
      </c>
      <c r="G397" t="s">
        <v>28</v>
      </c>
      <c r="H397" t="s">
        <v>1611</v>
      </c>
      <c r="I397" t="s">
        <v>1612</v>
      </c>
      <c r="J397" t="s">
        <v>259</v>
      </c>
      <c r="K397" t="s">
        <v>1613</v>
      </c>
      <c r="L397">
        <v>56955372628</v>
      </c>
      <c r="M397" t="s">
        <v>33</v>
      </c>
      <c r="N397" t="s">
        <v>34</v>
      </c>
      <c r="O397" t="s">
        <v>58</v>
      </c>
      <c r="P397" t="s">
        <v>36</v>
      </c>
      <c r="Q397">
        <v>9002564952</v>
      </c>
      <c r="R397" t="s">
        <v>37</v>
      </c>
      <c r="S397" t="s">
        <v>137</v>
      </c>
      <c r="T397" t="s">
        <v>39</v>
      </c>
      <c r="U397" s="1">
        <v>46022</v>
      </c>
      <c r="W397" s="5">
        <f ca="1">+(TODAY()-Tabla2[[#This Row],[FECHA DE NACIMIENTO]])/360</f>
        <v>128.05833333333334</v>
      </c>
    </row>
    <row r="398" spans="1:23" x14ac:dyDescent="0.45">
      <c r="A398" t="s">
        <v>1266</v>
      </c>
      <c r="B398" t="s">
        <v>1359</v>
      </c>
      <c r="C398" t="s">
        <v>89</v>
      </c>
      <c r="D398" s="1">
        <v>45939</v>
      </c>
      <c r="E398" t="s">
        <v>1614</v>
      </c>
      <c r="F398" t="s">
        <v>1615</v>
      </c>
      <c r="G398" t="s">
        <v>42</v>
      </c>
      <c r="H398" t="s">
        <v>520</v>
      </c>
      <c r="I398" t="s">
        <v>1616</v>
      </c>
      <c r="J398" t="s">
        <v>142</v>
      </c>
      <c r="K398" t="s">
        <v>1617</v>
      </c>
      <c r="L398">
        <v>965565621</v>
      </c>
      <c r="M398" t="s">
        <v>33</v>
      </c>
      <c r="N398" t="s">
        <v>34</v>
      </c>
      <c r="O398" t="s">
        <v>58</v>
      </c>
      <c r="P398" t="s">
        <v>48</v>
      </c>
      <c r="Q398">
        <v>93122250</v>
      </c>
      <c r="R398" t="s">
        <v>37</v>
      </c>
      <c r="S398" t="s">
        <v>38</v>
      </c>
      <c r="T398" t="s">
        <v>39</v>
      </c>
      <c r="W398" s="5">
        <f ca="1">+(TODAY()-Tabla2[[#This Row],[FECHA DE NACIMIENTO]])/360</f>
        <v>128.05833333333334</v>
      </c>
    </row>
    <row r="399" spans="1:23" x14ac:dyDescent="0.45">
      <c r="A399" t="s">
        <v>23</v>
      </c>
      <c r="B399" t="s">
        <v>777</v>
      </c>
      <c r="C399" t="s">
        <v>89</v>
      </c>
      <c r="D399" s="1">
        <v>45939</v>
      </c>
      <c r="E399" t="s">
        <v>1618</v>
      </c>
      <c r="F399" t="s">
        <v>1619</v>
      </c>
      <c r="G399" t="s">
        <v>42</v>
      </c>
      <c r="H399" t="s">
        <v>89</v>
      </c>
      <c r="I399" t="s">
        <v>1620</v>
      </c>
      <c r="J399" t="s">
        <v>94</v>
      </c>
      <c r="K399" t="s">
        <v>1621</v>
      </c>
      <c r="L399">
        <v>963459652</v>
      </c>
      <c r="M399" t="s">
        <v>683</v>
      </c>
      <c r="N399" t="s">
        <v>34</v>
      </c>
      <c r="O399" t="s">
        <v>58</v>
      </c>
      <c r="P399" t="s">
        <v>66</v>
      </c>
      <c r="Q399">
        <v>17060336</v>
      </c>
      <c r="R399" t="s">
        <v>60</v>
      </c>
      <c r="S399" t="s">
        <v>137</v>
      </c>
      <c r="T399" t="s">
        <v>39</v>
      </c>
      <c r="U399" s="1">
        <v>45991</v>
      </c>
      <c r="W399" s="5">
        <f ca="1">+(TODAY()-Tabla2[[#This Row],[FECHA DE NACIMIENTO]])/360</f>
        <v>128.05833333333334</v>
      </c>
    </row>
    <row r="400" spans="1:23" x14ac:dyDescent="0.45">
      <c r="A400" t="s">
        <v>1266</v>
      </c>
      <c r="B400" t="s">
        <v>1387</v>
      </c>
      <c r="C400" t="s">
        <v>89</v>
      </c>
      <c r="D400" s="1">
        <v>45939</v>
      </c>
      <c r="E400" t="s">
        <v>1622</v>
      </c>
      <c r="F400" t="s">
        <v>1623</v>
      </c>
      <c r="G400" t="s">
        <v>28</v>
      </c>
      <c r="H400" t="s">
        <v>69</v>
      </c>
      <c r="I400" t="s">
        <v>1624</v>
      </c>
      <c r="J400" t="s">
        <v>142</v>
      </c>
      <c r="K400" t="s">
        <v>1625</v>
      </c>
      <c r="L400">
        <v>942655585</v>
      </c>
      <c r="M400" t="s">
        <v>33</v>
      </c>
      <c r="N400" t="s">
        <v>34</v>
      </c>
      <c r="O400" t="s">
        <v>58</v>
      </c>
      <c r="P400" t="s">
        <v>96</v>
      </c>
      <c r="Q400">
        <v>78819989</v>
      </c>
      <c r="R400" t="s">
        <v>37</v>
      </c>
      <c r="S400" t="s">
        <v>137</v>
      </c>
      <c r="T400" t="s">
        <v>39</v>
      </c>
      <c r="U400" s="1">
        <v>45991</v>
      </c>
      <c r="W400" s="5">
        <f ca="1">+(TODAY()-Tabla2[[#This Row],[FECHA DE NACIMIENTO]])/360</f>
        <v>128.05833333333334</v>
      </c>
    </row>
    <row r="401" spans="1:23" x14ac:dyDescent="0.45">
      <c r="A401" t="s">
        <v>1266</v>
      </c>
      <c r="B401" t="s">
        <v>1365</v>
      </c>
      <c r="C401" t="s">
        <v>89</v>
      </c>
      <c r="D401" s="1">
        <v>45939</v>
      </c>
      <c r="E401" t="s">
        <v>1626</v>
      </c>
      <c r="F401" t="s">
        <v>1627</v>
      </c>
      <c r="G401" t="s">
        <v>42</v>
      </c>
      <c r="H401" t="s">
        <v>794</v>
      </c>
      <c r="I401" t="s">
        <v>1628</v>
      </c>
      <c r="J401" t="s">
        <v>165</v>
      </c>
      <c r="K401" t="s">
        <v>1629</v>
      </c>
      <c r="L401">
        <v>959832814</v>
      </c>
      <c r="M401" t="s">
        <v>33</v>
      </c>
      <c r="N401" t="s">
        <v>57</v>
      </c>
      <c r="O401" t="s">
        <v>58</v>
      </c>
      <c r="P401" t="s">
        <v>48</v>
      </c>
      <c r="Q401">
        <v>136522293</v>
      </c>
      <c r="R401" t="s">
        <v>37</v>
      </c>
      <c r="S401" t="s">
        <v>137</v>
      </c>
      <c r="T401" t="s">
        <v>39</v>
      </c>
      <c r="W401" s="5">
        <f ca="1">+(TODAY()-Tabla2[[#This Row],[FECHA DE NACIMIENTO]])/360</f>
        <v>128.05833333333334</v>
      </c>
    </row>
    <row r="402" spans="1:23" x14ac:dyDescent="0.45">
      <c r="A402" t="s">
        <v>23</v>
      </c>
      <c r="B402" t="s">
        <v>659</v>
      </c>
      <c r="C402" t="s">
        <v>89</v>
      </c>
      <c r="D402" s="1">
        <v>45939</v>
      </c>
      <c r="E402" t="s">
        <v>1630</v>
      </c>
      <c r="F402" t="s">
        <v>1631</v>
      </c>
      <c r="G402" t="s">
        <v>28</v>
      </c>
      <c r="H402" t="s">
        <v>1632</v>
      </c>
      <c r="I402" t="s">
        <v>1633</v>
      </c>
      <c r="J402" t="s">
        <v>436</v>
      </c>
      <c r="K402" t="s">
        <v>1634</v>
      </c>
      <c r="L402">
        <v>56985808899</v>
      </c>
      <c r="M402" t="s">
        <v>33</v>
      </c>
      <c r="N402" t="s">
        <v>34</v>
      </c>
      <c r="O402" t="s">
        <v>35</v>
      </c>
      <c r="P402" t="s">
        <v>1635</v>
      </c>
      <c r="Q402">
        <v>4010789949</v>
      </c>
      <c r="R402" t="s">
        <v>60</v>
      </c>
      <c r="S402" t="s">
        <v>137</v>
      </c>
      <c r="T402" t="s">
        <v>39</v>
      </c>
      <c r="U402" s="1">
        <v>45991</v>
      </c>
      <c r="W402" s="5">
        <f ca="1">+(TODAY()-Tabla2[[#This Row],[FECHA DE NACIMIENTO]])/360</f>
        <v>128.05833333333334</v>
      </c>
    </row>
    <row r="403" spans="1:23" x14ac:dyDescent="0.45">
      <c r="A403" t="s">
        <v>645</v>
      </c>
      <c r="B403" t="s">
        <v>1636</v>
      </c>
      <c r="C403" t="s">
        <v>89</v>
      </c>
      <c r="D403" s="1">
        <v>45939</v>
      </c>
      <c r="E403" t="s">
        <v>1637</v>
      </c>
      <c r="F403" t="s">
        <v>1638</v>
      </c>
      <c r="G403" t="s">
        <v>28</v>
      </c>
      <c r="H403" t="s">
        <v>156</v>
      </c>
      <c r="I403" t="s">
        <v>1639</v>
      </c>
      <c r="J403" t="s">
        <v>165</v>
      </c>
      <c r="K403" t="s">
        <v>1640</v>
      </c>
      <c r="L403">
        <v>921641436</v>
      </c>
      <c r="M403" t="s">
        <v>33</v>
      </c>
      <c r="N403" t="s">
        <v>536</v>
      </c>
      <c r="O403" t="s">
        <v>58</v>
      </c>
      <c r="P403" t="s">
        <v>66</v>
      </c>
      <c r="Q403">
        <v>254999202</v>
      </c>
      <c r="R403" t="s">
        <v>37</v>
      </c>
      <c r="S403" t="s">
        <v>137</v>
      </c>
      <c r="T403" t="s">
        <v>39</v>
      </c>
      <c r="U403" s="1">
        <v>45991</v>
      </c>
      <c r="W403" s="5">
        <f ca="1">+(TODAY()-Tabla2[[#This Row],[FECHA DE NACIMIENTO]])/360</f>
        <v>128.05833333333334</v>
      </c>
    </row>
    <row r="404" spans="1:23" x14ac:dyDescent="0.45">
      <c r="A404" t="s">
        <v>645</v>
      </c>
      <c r="B404" t="s">
        <v>1636</v>
      </c>
      <c r="C404" t="s">
        <v>89</v>
      </c>
      <c r="D404" s="1">
        <v>45939</v>
      </c>
      <c r="E404" t="s">
        <v>1641</v>
      </c>
      <c r="F404" t="s">
        <v>1642</v>
      </c>
      <c r="G404" t="s">
        <v>28</v>
      </c>
      <c r="H404" t="s">
        <v>1643</v>
      </c>
      <c r="I404" t="s">
        <v>1644</v>
      </c>
      <c r="J404" t="s">
        <v>31</v>
      </c>
      <c r="K404" t="s">
        <v>1645</v>
      </c>
      <c r="L404">
        <v>56948662735</v>
      </c>
      <c r="M404" t="s">
        <v>81</v>
      </c>
      <c r="N404" t="s">
        <v>34</v>
      </c>
      <c r="O404" t="s">
        <v>58</v>
      </c>
      <c r="P404" t="s">
        <v>66</v>
      </c>
      <c r="Q404">
        <v>118817907</v>
      </c>
      <c r="R404" t="s">
        <v>37</v>
      </c>
      <c r="S404" t="s">
        <v>137</v>
      </c>
      <c r="T404" t="s">
        <v>39</v>
      </c>
      <c r="U404" s="1">
        <v>45991</v>
      </c>
      <c r="W404" s="5">
        <f ca="1">+(TODAY()-Tabla2[[#This Row],[FECHA DE NACIMIENTO]])/360</f>
        <v>128.05833333333334</v>
      </c>
    </row>
    <row r="405" spans="1:23" x14ac:dyDescent="0.45">
      <c r="A405" t="s">
        <v>1266</v>
      </c>
      <c r="B405" t="s">
        <v>1387</v>
      </c>
      <c r="C405" t="s">
        <v>89</v>
      </c>
      <c r="D405" s="1">
        <v>45939</v>
      </c>
      <c r="E405" t="s">
        <v>1646</v>
      </c>
      <c r="F405" t="s">
        <v>1647</v>
      </c>
      <c r="G405" t="s">
        <v>28</v>
      </c>
      <c r="H405" t="s">
        <v>1648</v>
      </c>
      <c r="I405" t="s">
        <v>1649</v>
      </c>
      <c r="J405" t="s">
        <v>165</v>
      </c>
      <c r="K405" t="s">
        <v>1650</v>
      </c>
      <c r="L405">
        <v>952055373</v>
      </c>
      <c r="M405" t="s">
        <v>33</v>
      </c>
      <c r="N405" t="s">
        <v>57</v>
      </c>
      <c r="O405" t="s">
        <v>58</v>
      </c>
      <c r="P405" t="s">
        <v>36</v>
      </c>
      <c r="Q405">
        <v>5625677109</v>
      </c>
      <c r="R405" t="s">
        <v>37</v>
      </c>
      <c r="S405" t="s">
        <v>137</v>
      </c>
      <c r="T405" t="s">
        <v>39</v>
      </c>
      <c r="U405" s="1">
        <v>45991</v>
      </c>
      <c r="W405" s="5">
        <f ca="1">+(TODAY()-Tabla2[[#This Row],[FECHA DE NACIMIENTO]])/360</f>
        <v>128.05833333333334</v>
      </c>
    </row>
    <row r="406" spans="1:23" x14ac:dyDescent="0.45">
      <c r="A406" t="s">
        <v>1266</v>
      </c>
      <c r="B406" t="s">
        <v>1387</v>
      </c>
      <c r="C406" t="s">
        <v>89</v>
      </c>
      <c r="D406" s="1">
        <v>45939</v>
      </c>
      <c r="E406" t="s">
        <v>1651</v>
      </c>
      <c r="F406" t="s">
        <v>1652</v>
      </c>
      <c r="G406" t="s">
        <v>42</v>
      </c>
      <c r="H406" t="s">
        <v>1653</v>
      </c>
      <c r="I406" t="s">
        <v>1654</v>
      </c>
      <c r="J406" t="s">
        <v>165</v>
      </c>
      <c r="K406" t="s">
        <v>1655</v>
      </c>
      <c r="L406">
        <v>932744360</v>
      </c>
      <c r="M406" t="s">
        <v>33</v>
      </c>
      <c r="N406" t="s">
        <v>57</v>
      </c>
      <c r="O406" t="s">
        <v>58</v>
      </c>
      <c r="P406" t="s">
        <v>732</v>
      </c>
      <c r="Q406">
        <v>1018870540</v>
      </c>
      <c r="R406" t="s">
        <v>37</v>
      </c>
      <c r="S406" t="s">
        <v>137</v>
      </c>
      <c r="T406" t="s">
        <v>74</v>
      </c>
      <c r="U406" s="1">
        <v>45961</v>
      </c>
      <c r="W406" s="5">
        <f ca="1">+(TODAY()-Tabla2[[#This Row],[FECHA DE NACIMIENTO]])/360</f>
        <v>128.05833333333334</v>
      </c>
    </row>
    <row r="407" spans="1:23" x14ac:dyDescent="0.45">
      <c r="A407" t="s">
        <v>23</v>
      </c>
      <c r="B407" t="s">
        <v>652</v>
      </c>
      <c r="C407" t="s">
        <v>89</v>
      </c>
      <c r="D407" s="1">
        <v>45939</v>
      </c>
      <c r="E407" t="s">
        <v>1656</v>
      </c>
      <c r="F407" t="s">
        <v>1657</v>
      </c>
      <c r="G407" t="s">
        <v>42</v>
      </c>
      <c r="H407" t="s">
        <v>1658</v>
      </c>
      <c r="I407" t="s">
        <v>1659</v>
      </c>
      <c r="J407" t="s">
        <v>516</v>
      </c>
      <c r="K407" t="s">
        <v>1660</v>
      </c>
      <c r="L407">
        <v>56982290252</v>
      </c>
      <c r="M407" t="s">
        <v>33</v>
      </c>
      <c r="N407" t="s">
        <v>34</v>
      </c>
      <c r="O407" t="s">
        <v>58</v>
      </c>
      <c r="P407" t="s">
        <v>66</v>
      </c>
      <c r="Q407">
        <v>33970007984</v>
      </c>
      <c r="R407" t="s">
        <v>37</v>
      </c>
      <c r="S407" t="s">
        <v>137</v>
      </c>
      <c r="T407" t="s">
        <v>39</v>
      </c>
      <c r="U407" s="1">
        <v>45991</v>
      </c>
      <c r="W407" s="5">
        <f ca="1">+(TODAY()-Tabla2[[#This Row],[FECHA DE NACIMIENTO]])/360</f>
        <v>128.05833333333334</v>
      </c>
    </row>
    <row r="408" spans="1:23" x14ac:dyDescent="0.45">
      <c r="A408" t="s">
        <v>645</v>
      </c>
      <c r="B408" t="s">
        <v>1636</v>
      </c>
      <c r="C408" t="s">
        <v>89</v>
      </c>
      <c r="D408" s="1">
        <v>45939</v>
      </c>
      <c r="E408" t="s">
        <v>1661</v>
      </c>
      <c r="F408" t="s">
        <v>1662</v>
      </c>
      <c r="G408" t="s">
        <v>42</v>
      </c>
      <c r="H408" t="s">
        <v>1663</v>
      </c>
      <c r="I408" t="s">
        <v>1664</v>
      </c>
      <c r="J408" t="s">
        <v>94</v>
      </c>
      <c r="K408" t="s">
        <v>1665</v>
      </c>
      <c r="L408">
        <v>989073562</v>
      </c>
      <c r="M408" t="s">
        <v>33</v>
      </c>
      <c r="N408" t="s">
        <v>34</v>
      </c>
      <c r="O408" t="s">
        <v>58</v>
      </c>
      <c r="P408" t="s">
        <v>66</v>
      </c>
      <c r="Q408">
        <v>22451053</v>
      </c>
      <c r="R408" t="s">
        <v>37</v>
      </c>
      <c r="S408" t="s">
        <v>137</v>
      </c>
      <c r="T408" t="s">
        <v>74</v>
      </c>
      <c r="W408" s="5">
        <f ca="1">+(TODAY()-Tabla2[[#This Row],[FECHA DE NACIMIENTO]])/360</f>
        <v>128.05833333333334</v>
      </c>
    </row>
    <row r="409" spans="1:23" x14ac:dyDescent="0.45">
      <c r="A409" t="s">
        <v>23</v>
      </c>
      <c r="B409" t="s">
        <v>125</v>
      </c>
      <c r="C409" t="s">
        <v>89</v>
      </c>
      <c r="D409" s="1">
        <v>45939</v>
      </c>
      <c r="E409" t="s">
        <v>1666</v>
      </c>
      <c r="F409" t="s">
        <v>1667</v>
      </c>
      <c r="G409" t="s">
        <v>42</v>
      </c>
      <c r="H409" t="s">
        <v>1024</v>
      </c>
      <c r="I409" t="s">
        <v>1668</v>
      </c>
      <c r="J409" t="s">
        <v>436</v>
      </c>
      <c r="K409" t="s">
        <v>1669</v>
      </c>
      <c r="L409">
        <v>56963712100</v>
      </c>
      <c r="M409" t="s">
        <v>56</v>
      </c>
      <c r="N409" t="s">
        <v>34</v>
      </c>
      <c r="O409" t="s">
        <v>58</v>
      </c>
      <c r="P409" t="s">
        <v>66</v>
      </c>
      <c r="Q409">
        <v>83137770</v>
      </c>
      <c r="R409" t="s">
        <v>37</v>
      </c>
      <c r="S409" t="s">
        <v>137</v>
      </c>
      <c r="T409" t="s">
        <v>74</v>
      </c>
      <c r="W409" s="5">
        <f ca="1">+(TODAY()-Tabla2[[#This Row],[FECHA DE NACIMIENTO]])/360</f>
        <v>128.05833333333334</v>
      </c>
    </row>
    <row r="410" spans="1:23" x14ac:dyDescent="0.45">
      <c r="A410" t="s">
        <v>23</v>
      </c>
      <c r="B410" t="s">
        <v>131</v>
      </c>
      <c r="C410" t="s">
        <v>89</v>
      </c>
      <c r="D410" s="1">
        <v>45939</v>
      </c>
      <c r="E410" t="s">
        <v>1670</v>
      </c>
      <c r="F410" t="s">
        <v>1671</v>
      </c>
      <c r="G410" t="s">
        <v>42</v>
      </c>
      <c r="H410" t="s">
        <v>1672</v>
      </c>
      <c r="I410" t="s">
        <v>1673</v>
      </c>
      <c r="J410" t="s">
        <v>370</v>
      </c>
      <c r="K410" t="s">
        <v>1674</v>
      </c>
      <c r="L410">
        <v>985755663</v>
      </c>
      <c r="M410" t="s">
        <v>33</v>
      </c>
      <c r="N410" t="s">
        <v>34</v>
      </c>
      <c r="O410" t="s">
        <v>35</v>
      </c>
      <c r="P410" t="s">
        <v>66</v>
      </c>
      <c r="Q410">
        <v>21600073033</v>
      </c>
      <c r="R410" t="s">
        <v>60</v>
      </c>
      <c r="S410" t="s">
        <v>137</v>
      </c>
      <c r="T410" t="s">
        <v>39</v>
      </c>
      <c r="U410" s="1">
        <v>45991</v>
      </c>
      <c r="W410" s="5">
        <f ca="1">+(TODAY()-Tabla2[[#This Row],[FECHA DE NACIMIENTO]])/360</f>
        <v>128.05833333333334</v>
      </c>
    </row>
    <row r="411" spans="1:23" x14ac:dyDescent="0.45">
      <c r="A411" t="s">
        <v>1266</v>
      </c>
      <c r="B411" t="s">
        <v>1387</v>
      </c>
      <c r="C411" t="s">
        <v>89</v>
      </c>
      <c r="D411" s="1">
        <v>45939</v>
      </c>
      <c r="E411" t="s">
        <v>1641</v>
      </c>
      <c r="F411" t="s">
        <v>1642</v>
      </c>
      <c r="G411" t="s">
        <v>28</v>
      </c>
      <c r="H411" t="s">
        <v>1643</v>
      </c>
      <c r="I411" t="s">
        <v>1644</v>
      </c>
      <c r="J411" t="s">
        <v>31</v>
      </c>
      <c r="K411" t="s">
        <v>1645</v>
      </c>
      <c r="L411">
        <v>56948662735</v>
      </c>
      <c r="M411" t="s">
        <v>81</v>
      </c>
      <c r="N411" t="s">
        <v>34</v>
      </c>
      <c r="O411" t="s">
        <v>58</v>
      </c>
      <c r="P411" t="s">
        <v>66</v>
      </c>
      <c r="Q411">
        <v>11881790</v>
      </c>
      <c r="R411" t="s">
        <v>37</v>
      </c>
      <c r="S411" t="s">
        <v>38</v>
      </c>
      <c r="T411" t="s">
        <v>74</v>
      </c>
      <c r="W411" s="5">
        <f ca="1">+(TODAY()-Tabla2[[#This Row],[FECHA DE NACIMIENTO]])/360</f>
        <v>128.05833333333334</v>
      </c>
    </row>
    <row r="412" spans="1:23" x14ac:dyDescent="0.45">
      <c r="A412" t="s">
        <v>23</v>
      </c>
      <c r="B412" t="s">
        <v>632</v>
      </c>
      <c r="C412" t="s">
        <v>633</v>
      </c>
      <c r="D412" s="1">
        <v>45940</v>
      </c>
      <c r="E412" t="s">
        <v>1675</v>
      </c>
      <c r="F412" t="s">
        <v>1676</v>
      </c>
      <c r="G412" t="s">
        <v>28</v>
      </c>
      <c r="H412" t="s">
        <v>89</v>
      </c>
      <c r="I412" t="s">
        <v>1677</v>
      </c>
      <c r="J412" t="s">
        <v>643</v>
      </c>
      <c r="K412" t="s">
        <v>1678</v>
      </c>
      <c r="L412">
        <v>987682671</v>
      </c>
      <c r="M412" t="s">
        <v>658</v>
      </c>
      <c r="N412" t="s">
        <v>136</v>
      </c>
      <c r="O412" t="s">
        <v>58</v>
      </c>
      <c r="P412" t="s">
        <v>66</v>
      </c>
      <c r="Q412">
        <v>27569260</v>
      </c>
      <c r="R412" t="s">
        <v>37</v>
      </c>
      <c r="S412" t="s">
        <v>38</v>
      </c>
      <c r="T412" t="s">
        <v>39</v>
      </c>
      <c r="U412" s="1">
        <v>45991</v>
      </c>
      <c r="W412" s="5">
        <f ca="1">+(TODAY()-Tabla2[[#This Row],[FECHA DE NACIMIENTO]])/360</f>
        <v>128.05833333333334</v>
      </c>
    </row>
    <row r="413" spans="1:23" x14ac:dyDescent="0.45">
      <c r="A413" t="s">
        <v>23</v>
      </c>
      <c r="B413" t="s">
        <v>777</v>
      </c>
      <c r="C413" t="s">
        <v>89</v>
      </c>
      <c r="D413" s="1">
        <v>45943</v>
      </c>
      <c r="E413" t="s">
        <v>1661</v>
      </c>
      <c r="F413" t="s">
        <v>1662</v>
      </c>
      <c r="G413" t="s">
        <v>42</v>
      </c>
      <c r="H413" t="s">
        <v>1663</v>
      </c>
      <c r="I413" t="s">
        <v>1664</v>
      </c>
      <c r="J413" t="s">
        <v>94</v>
      </c>
      <c r="K413" t="s">
        <v>1665</v>
      </c>
      <c r="L413">
        <v>989073562</v>
      </c>
      <c r="M413" t="s">
        <v>33</v>
      </c>
      <c r="N413" t="s">
        <v>34</v>
      </c>
      <c r="O413" t="s">
        <v>58</v>
      </c>
      <c r="P413" t="s">
        <v>66</v>
      </c>
      <c r="Q413">
        <v>22451053</v>
      </c>
      <c r="R413" t="s">
        <v>60</v>
      </c>
      <c r="S413" t="s">
        <v>38</v>
      </c>
      <c r="T413" t="s">
        <v>39</v>
      </c>
      <c r="U413" s="1">
        <v>46022</v>
      </c>
      <c r="W413" s="5">
        <f ca="1">+(TODAY()-Tabla2[[#This Row],[FECHA DE NACIMIENTO]])/360</f>
        <v>128.05833333333334</v>
      </c>
    </row>
    <row r="414" spans="1:23" x14ac:dyDescent="0.45">
      <c r="A414" t="s">
        <v>645</v>
      </c>
      <c r="B414" t="s">
        <v>666</v>
      </c>
      <c r="C414" t="s">
        <v>89</v>
      </c>
      <c r="D414" s="1">
        <v>45950</v>
      </c>
      <c r="E414" t="s">
        <v>1679</v>
      </c>
      <c r="F414" t="s">
        <v>1680</v>
      </c>
      <c r="G414" t="s">
        <v>42</v>
      </c>
      <c r="H414" t="s">
        <v>1681</v>
      </c>
      <c r="I414" t="s">
        <v>1682</v>
      </c>
      <c r="J414" t="s">
        <v>375</v>
      </c>
      <c r="K414" t="s">
        <v>1683</v>
      </c>
      <c r="L414">
        <v>56968162013</v>
      </c>
      <c r="M414" t="s">
        <v>81</v>
      </c>
      <c r="N414" t="s">
        <v>34</v>
      </c>
      <c r="O414" t="s">
        <v>58</v>
      </c>
      <c r="P414" t="s">
        <v>66</v>
      </c>
      <c r="Q414">
        <v>16094009</v>
      </c>
      <c r="R414" t="s">
        <v>37</v>
      </c>
      <c r="S414" t="s">
        <v>38</v>
      </c>
      <c r="T414" t="s">
        <v>39</v>
      </c>
      <c r="W414" s="5">
        <f ca="1">+(TODAY()-Tabla2[[#This Row],[FECHA DE NACIMIENTO]])/360</f>
        <v>128.05833333333334</v>
      </c>
    </row>
    <row r="415" spans="1:23" x14ac:dyDescent="0.45">
      <c r="A415" t="s">
        <v>23</v>
      </c>
      <c r="B415" t="s">
        <v>646</v>
      </c>
      <c r="C415" t="s">
        <v>89</v>
      </c>
      <c r="D415" s="1">
        <v>45950</v>
      </c>
      <c r="E415" t="s">
        <v>1684</v>
      </c>
      <c r="F415" t="s">
        <v>1685</v>
      </c>
      <c r="G415" t="s">
        <v>42</v>
      </c>
      <c r="H415" t="s">
        <v>146</v>
      </c>
      <c r="I415" t="s">
        <v>1686</v>
      </c>
      <c r="J415" t="s">
        <v>165</v>
      </c>
      <c r="K415" t="s">
        <v>1687</v>
      </c>
      <c r="L415">
        <v>56940889425</v>
      </c>
      <c r="M415" t="s">
        <v>33</v>
      </c>
      <c r="N415" t="s">
        <v>57</v>
      </c>
      <c r="O415" t="s">
        <v>58</v>
      </c>
      <c r="P415" t="s">
        <v>66</v>
      </c>
      <c r="Q415">
        <v>27828236</v>
      </c>
      <c r="R415" t="s">
        <v>37</v>
      </c>
      <c r="S415" t="s">
        <v>38</v>
      </c>
      <c r="T415" t="s">
        <v>89</v>
      </c>
      <c r="W415" s="5">
        <f ca="1">+(TODAY()-Tabla2[[#This Row],[FECHA DE NACIMIENTO]])/360</f>
        <v>128.05833333333334</v>
      </c>
    </row>
    <row r="416" spans="1:23" x14ac:dyDescent="0.45">
      <c r="A416" t="s">
        <v>23</v>
      </c>
      <c r="B416" t="s">
        <v>659</v>
      </c>
      <c r="C416" t="s">
        <v>89</v>
      </c>
      <c r="D416" s="1">
        <v>45951</v>
      </c>
      <c r="E416" t="s">
        <v>1688</v>
      </c>
      <c r="F416" t="s">
        <v>1689</v>
      </c>
      <c r="G416" t="s">
        <v>42</v>
      </c>
      <c r="H416" t="s">
        <v>1690</v>
      </c>
      <c r="I416" t="s">
        <v>1691</v>
      </c>
      <c r="J416" t="s">
        <v>204</v>
      </c>
      <c r="K416" t="s">
        <v>1692</v>
      </c>
      <c r="L416">
        <v>976093287</v>
      </c>
      <c r="M416" t="s">
        <v>33</v>
      </c>
      <c r="N416" t="s">
        <v>34</v>
      </c>
      <c r="O416" t="s">
        <v>58</v>
      </c>
      <c r="P416" t="s">
        <v>732</v>
      </c>
      <c r="Q416">
        <v>1098849342</v>
      </c>
      <c r="R416" t="s">
        <v>60</v>
      </c>
      <c r="S416" t="s">
        <v>38</v>
      </c>
      <c r="T416" t="s">
        <v>39</v>
      </c>
      <c r="W416" s="5">
        <f ca="1">+(TODAY()-Tabla2[[#This Row],[FECHA DE NACIMIENTO]])/360</f>
        <v>128.05833333333334</v>
      </c>
    </row>
    <row r="417" spans="1:23" x14ac:dyDescent="0.45">
      <c r="A417" t="s">
        <v>23</v>
      </c>
      <c r="B417" t="s">
        <v>659</v>
      </c>
      <c r="C417" t="s">
        <v>89</v>
      </c>
      <c r="D417" s="1">
        <v>45951</v>
      </c>
      <c r="E417" t="s">
        <v>1693</v>
      </c>
      <c r="F417" t="s">
        <v>1694</v>
      </c>
      <c r="G417" t="s">
        <v>42</v>
      </c>
      <c r="H417" t="s">
        <v>1695</v>
      </c>
      <c r="I417" t="s">
        <v>1696</v>
      </c>
      <c r="J417" t="s">
        <v>204</v>
      </c>
      <c r="K417" t="s">
        <v>1697</v>
      </c>
      <c r="L417">
        <v>954213443</v>
      </c>
      <c r="M417" t="s">
        <v>81</v>
      </c>
      <c r="N417" t="s">
        <v>34</v>
      </c>
      <c r="O417" t="s">
        <v>58</v>
      </c>
      <c r="P417" t="s">
        <v>66</v>
      </c>
      <c r="Q417">
        <v>8667865</v>
      </c>
      <c r="R417" t="s">
        <v>37</v>
      </c>
      <c r="S417" t="s">
        <v>38</v>
      </c>
      <c r="T417" t="s">
        <v>39</v>
      </c>
      <c r="W417" s="5">
        <f ca="1">+(TODAY()-Tabla2[[#This Row],[FECHA DE NACIMIENTO]])/360</f>
        <v>128.05833333333334</v>
      </c>
    </row>
    <row r="418" spans="1:23" x14ac:dyDescent="0.45">
      <c r="A418" t="s">
        <v>23</v>
      </c>
      <c r="B418" t="s">
        <v>131</v>
      </c>
      <c r="C418" t="s">
        <v>89</v>
      </c>
      <c r="D418" s="1">
        <v>45951</v>
      </c>
      <c r="E418" t="s">
        <v>1698</v>
      </c>
      <c r="F418" t="s">
        <v>1699</v>
      </c>
      <c r="G418" t="s">
        <v>28</v>
      </c>
      <c r="H418" t="s">
        <v>69</v>
      </c>
      <c r="I418" t="s">
        <v>1700</v>
      </c>
      <c r="J418" t="s">
        <v>31</v>
      </c>
      <c r="K418" t="s">
        <v>1701</v>
      </c>
      <c r="L418">
        <v>995284079</v>
      </c>
      <c r="M418" t="s">
        <v>56</v>
      </c>
      <c r="N418" t="s">
        <v>34</v>
      </c>
      <c r="O418" t="s">
        <v>58</v>
      </c>
      <c r="P418" t="s">
        <v>66</v>
      </c>
      <c r="Q418">
        <v>80046529</v>
      </c>
      <c r="R418" t="s">
        <v>60</v>
      </c>
      <c r="S418" t="s">
        <v>537</v>
      </c>
      <c r="T418" t="s">
        <v>39</v>
      </c>
      <c r="U418" s="1">
        <v>45991</v>
      </c>
      <c r="W418" s="5">
        <f ca="1">+(TODAY()-Tabla2[[#This Row],[FECHA DE NACIMIENTO]])/360</f>
        <v>128.05833333333334</v>
      </c>
    </row>
    <row r="419" spans="1:23" x14ac:dyDescent="0.45">
      <c r="A419" t="s">
        <v>23</v>
      </c>
      <c r="B419" t="s">
        <v>125</v>
      </c>
      <c r="C419" t="s">
        <v>89</v>
      </c>
      <c r="D419" s="1">
        <v>45951</v>
      </c>
      <c r="E419" t="s">
        <v>1702</v>
      </c>
      <c r="F419" t="s">
        <v>1703</v>
      </c>
      <c r="G419" t="s">
        <v>42</v>
      </c>
      <c r="H419" t="s">
        <v>1704</v>
      </c>
      <c r="I419" t="s">
        <v>1705</v>
      </c>
      <c r="J419" t="s">
        <v>643</v>
      </c>
      <c r="K419" t="s">
        <v>1706</v>
      </c>
      <c r="L419">
        <v>930103950</v>
      </c>
      <c r="M419" t="s">
        <v>33</v>
      </c>
      <c r="N419" t="s">
        <v>34</v>
      </c>
      <c r="O419" t="s">
        <v>58</v>
      </c>
      <c r="P419" t="s">
        <v>48</v>
      </c>
      <c r="Q419">
        <v>112222130</v>
      </c>
      <c r="R419" t="s">
        <v>37</v>
      </c>
      <c r="S419" t="s">
        <v>38</v>
      </c>
      <c r="T419" t="s">
        <v>89</v>
      </c>
      <c r="U419" s="1">
        <v>46022</v>
      </c>
      <c r="W419" s="5">
        <f ca="1">+(TODAY()-Tabla2[[#This Row],[FECHA DE NACIMIENTO]])/360</f>
        <v>128.05833333333334</v>
      </c>
    </row>
    <row r="420" spans="1:23" x14ac:dyDescent="0.45">
      <c r="A420" t="s">
        <v>23</v>
      </c>
      <c r="B420" t="s">
        <v>659</v>
      </c>
      <c r="C420" t="s">
        <v>89</v>
      </c>
      <c r="D420" s="1">
        <v>45951</v>
      </c>
      <c r="E420" t="s">
        <v>1707</v>
      </c>
      <c r="F420" t="s">
        <v>1708</v>
      </c>
      <c r="G420" t="s">
        <v>42</v>
      </c>
      <c r="H420" t="s">
        <v>69</v>
      </c>
      <c r="I420" t="s">
        <v>1709</v>
      </c>
      <c r="J420" t="s">
        <v>241</v>
      </c>
      <c r="K420" t="s">
        <v>1710</v>
      </c>
      <c r="L420">
        <v>56949150986</v>
      </c>
      <c r="M420" t="s">
        <v>33</v>
      </c>
      <c r="N420" t="s">
        <v>34</v>
      </c>
      <c r="O420" t="s">
        <v>35</v>
      </c>
      <c r="P420" t="s">
        <v>82</v>
      </c>
      <c r="Q420">
        <v>19842160453</v>
      </c>
      <c r="R420" t="s">
        <v>37</v>
      </c>
      <c r="S420" t="s">
        <v>537</v>
      </c>
      <c r="T420" t="s">
        <v>39</v>
      </c>
      <c r="U420" s="1">
        <v>45991</v>
      </c>
      <c r="W420" s="5">
        <f ca="1">+(TODAY()-Tabla2[[#This Row],[FECHA DE NACIMIENTO]])/360</f>
        <v>128.05833333333334</v>
      </c>
    </row>
    <row r="421" spans="1:23" x14ac:dyDescent="0.45">
      <c r="A421" t="s">
        <v>23</v>
      </c>
      <c r="B421" t="s">
        <v>125</v>
      </c>
      <c r="C421" t="s">
        <v>89</v>
      </c>
      <c r="D421" s="1">
        <v>45951</v>
      </c>
      <c r="E421" t="s">
        <v>1711</v>
      </c>
      <c r="F421" t="s">
        <v>1712</v>
      </c>
      <c r="G421" t="s">
        <v>28</v>
      </c>
      <c r="H421" t="s">
        <v>69</v>
      </c>
      <c r="I421" t="s">
        <v>1713</v>
      </c>
      <c r="J421" t="s">
        <v>516</v>
      </c>
      <c r="K421" t="s">
        <v>1714</v>
      </c>
      <c r="L421">
        <v>933706599</v>
      </c>
      <c r="M421" t="s">
        <v>33</v>
      </c>
      <c r="N421" t="s">
        <v>57</v>
      </c>
      <c r="O421" t="s">
        <v>58</v>
      </c>
      <c r="P421" t="s">
        <v>66</v>
      </c>
      <c r="Q421">
        <v>26684393</v>
      </c>
      <c r="R421" t="s">
        <v>37</v>
      </c>
      <c r="S421" t="s">
        <v>137</v>
      </c>
      <c r="T421" t="s">
        <v>39</v>
      </c>
      <c r="U421" s="1">
        <v>45991</v>
      </c>
      <c r="W421" s="5">
        <f ca="1">+(TODAY()-Tabla2[[#This Row],[FECHA DE NACIMIENTO]])/360</f>
        <v>128.05833333333334</v>
      </c>
    </row>
    <row r="422" spans="1:23" x14ac:dyDescent="0.45">
      <c r="A422" t="s">
        <v>1266</v>
      </c>
      <c r="B422" t="s">
        <v>1359</v>
      </c>
      <c r="C422" t="s">
        <v>89</v>
      </c>
      <c r="D422" s="1">
        <v>45951</v>
      </c>
      <c r="E422" t="s">
        <v>1715</v>
      </c>
      <c r="F422" t="s">
        <v>1716</v>
      </c>
      <c r="G422" t="s">
        <v>28</v>
      </c>
      <c r="H422" t="s">
        <v>327</v>
      </c>
      <c r="I422" t="s">
        <v>1717</v>
      </c>
      <c r="J422" t="s">
        <v>241</v>
      </c>
      <c r="K422" t="s">
        <v>1718</v>
      </c>
      <c r="L422">
        <v>56945394019</v>
      </c>
      <c r="M422" t="s">
        <v>33</v>
      </c>
      <c r="N422" t="s">
        <v>34</v>
      </c>
      <c r="O422" t="s">
        <v>58</v>
      </c>
      <c r="P422" t="s">
        <v>66</v>
      </c>
      <c r="Q422">
        <v>22721917</v>
      </c>
      <c r="R422" t="s">
        <v>37</v>
      </c>
      <c r="S422" t="s">
        <v>137</v>
      </c>
      <c r="T422" t="s">
        <v>74</v>
      </c>
      <c r="U422" s="1">
        <v>45991</v>
      </c>
      <c r="W422" s="5">
        <f ca="1">+(TODAY()-Tabla2[[#This Row],[FECHA DE NACIMIENTO]])/360</f>
        <v>128.05833333333334</v>
      </c>
    </row>
    <row r="423" spans="1:23" x14ac:dyDescent="0.45">
      <c r="A423" t="s">
        <v>1266</v>
      </c>
      <c r="B423" t="s">
        <v>1359</v>
      </c>
      <c r="C423" t="s">
        <v>89</v>
      </c>
      <c r="D423" s="1">
        <v>45951</v>
      </c>
      <c r="E423" t="s">
        <v>1719</v>
      </c>
      <c r="F423" t="s">
        <v>1720</v>
      </c>
      <c r="G423" t="s">
        <v>42</v>
      </c>
      <c r="H423" t="s">
        <v>156</v>
      </c>
      <c r="I423" t="s">
        <v>1721</v>
      </c>
      <c r="J423" t="s">
        <v>834</v>
      </c>
      <c r="K423" t="s">
        <v>1722</v>
      </c>
      <c r="L423">
        <v>56979601374</v>
      </c>
      <c r="M423" t="s">
        <v>33</v>
      </c>
      <c r="N423" t="s">
        <v>34</v>
      </c>
      <c r="O423" t="s">
        <v>58</v>
      </c>
      <c r="P423" t="s">
        <v>66</v>
      </c>
      <c r="Q423">
        <v>15715418</v>
      </c>
      <c r="R423" t="s">
        <v>37</v>
      </c>
      <c r="S423" t="s">
        <v>137</v>
      </c>
      <c r="T423" t="s">
        <v>74</v>
      </c>
      <c r="U423" s="1">
        <v>45991</v>
      </c>
      <c r="W423" s="5">
        <f ca="1">+(TODAY()-Tabla2[[#This Row],[FECHA DE NACIMIENTO]])/360</f>
        <v>128.05833333333334</v>
      </c>
    </row>
    <row r="424" spans="1:23" x14ac:dyDescent="0.45">
      <c r="A424" t="s">
        <v>1266</v>
      </c>
      <c r="B424" t="s">
        <v>1359</v>
      </c>
      <c r="C424" t="s">
        <v>89</v>
      </c>
      <c r="D424" s="1">
        <v>45951</v>
      </c>
      <c r="E424" t="s">
        <v>1723</v>
      </c>
      <c r="F424" t="s">
        <v>1724</v>
      </c>
      <c r="G424" t="s">
        <v>42</v>
      </c>
      <c r="H424" t="s">
        <v>327</v>
      </c>
      <c r="I424" t="s">
        <v>1725</v>
      </c>
      <c r="J424" t="s">
        <v>241</v>
      </c>
      <c r="K424" t="s">
        <v>1726</v>
      </c>
      <c r="L424">
        <v>927695337</v>
      </c>
      <c r="M424" t="s">
        <v>33</v>
      </c>
      <c r="N424" t="s">
        <v>34</v>
      </c>
      <c r="O424" t="s">
        <v>58</v>
      </c>
      <c r="P424" t="s">
        <v>66</v>
      </c>
      <c r="Q424">
        <v>22061859</v>
      </c>
      <c r="R424" t="s">
        <v>37</v>
      </c>
      <c r="S424" t="s">
        <v>137</v>
      </c>
      <c r="T424" t="s">
        <v>39</v>
      </c>
      <c r="U424" s="1">
        <v>45991</v>
      </c>
      <c r="W424" s="5">
        <f ca="1">+(TODAY()-Tabla2[[#This Row],[FECHA DE NACIMIENTO]])/360</f>
        <v>128.05833333333334</v>
      </c>
    </row>
    <row r="425" spans="1:23" x14ac:dyDescent="0.45">
      <c r="A425" t="s">
        <v>1266</v>
      </c>
      <c r="B425" t="s">
        <v>1365</v>
      </c>
      <c r="C425" t="s">
        <v>89</v>
      </c>
      <c r="D425" s="1">
        <v>45951</v>
      </c>
      <c r="E425" t="s">
        <v>1727</v>
      </c>
      <c r="F425" t="s">
        <v>1728</v>
      </c>
      <c r="G425" t="s">
        <v>42</v>
      </c>
      <c r="H425" t="s">
        <v>156</v>
      </c>
      <c r="I425" t="s">
        <v>1729</v>
      </c>
      <c r="J425" t="s">
        <v>165</v>
      </c>
      <c r="L425">
        <v>950350744</v>
      </c>
      <c r="M425" t="s">
        <v>658</v>
      </c>
      <c r="N425" t="s">
        <v>34</v>
      </c>
      <c r="O425" t="s">
        <v>58</v>
      </c>
      <c r="P425" t="s">
        <v>66</v>
      </c>
      <c r="Q425">
        <v>138347818</v>
      </c>
      <c r="R425" t="s">
        <v>37</v>
      </c>
      <c r="S425" t="s">
        <v>38</v>
      </c>
      <c r="T425" t="s">
        <v>39</v>
      </c>
      <c r="W425" s="5">
        <f ca="1">+(TODAY()-Tabla2[[#This Row],[FECHA DE NACIMIENTO]])/360</f>
        <v>128.05833333333334</v>
      </c>
    </row>
    <row r="426" spans="1:23" x14ac:dyDescent="0.45">
      <c r="A426" t="s">
        <v>23</v>
      </c>
      <c r="B426" t="s">
        <v>388</v>
      </c>
      <c r="C426" t="s">
        <v>89</v>
      </c>
      <c r="D426" s="1">
        <v>45951</v>
      </c>
      <c r="E426" t="s">
        <v>1730</v>
      </c>
      <c r="F426" t="s">
        <v>1731</v>
      </c>
      <c r="G426" t="s">
        <v>28</v>
      </c>
      <c r="H426" t="s">
        <v>69</v>
      </c>
      <c r="I426" t="s">
        <v>1732</v>
      </c>
      <c r="J426" t="s">
        <v>54</v>
      </c>
      <c r="K426" t="s">
        <v>1733</v>
      </c>
      <c r="L426">
        <v>979956285</v>
      </c>
      <c r="M426" t="s">
        <v>81</v>
      </c>
      <c r="N426" t="s">
        <v>34</v>
      </c>
      <c r="O426" t="s">
        <v>58</v>
      </c>
      <c r="P426" t="s">
        <v>96</v>
      </c>
      <c r="Q426">
        <v>62482408</v>
      </c>
      <c r="R426" t="s">
        <v>60</v>
      </c>
      <c r="S426" t="s">
        <v>137</v>
      </c>
      <c r="T426" t="s">
        <v>74</v>
      </c>
      <c r="U426" s="1">
        <v>46022</v>
      </c>
      <c r="W426" s="5">
        <f ca="1">+(TODAY()-Tabla2[[#This Row],[FECHA DE NACIMIENTO]])/360</f>
        <v>128.05833333333334</v>
      </c>
    </row>
    <row r="427" spans="1:23" x14ac:dyDescent="0.45">
      <c r="A427" t="s">
        <v>1266</v>
      </c>
      <c r="B427" t="s">
        <v>1359</v>
      </c>
      <c r="C427" t="s">
        <v>89</v>
      </c>
      <c r="D427" s="1">
        <v>45951</v>
      </c>
      <c r="E427" t="s">
        <v>1734</v>
      </c>
      <c r="F427" t="s">
        <v>1735</v>
      </c>
      <c r="G427" t="s">
        <v>42</v>
      </c>
      <c r="H427" t="s">
        <v>156</v>
      </c>
      <c r="I427" t="s">
        <v>1736</v>
      </c>
      <c r="J427" t="s">
        <v>142</v>
      </c>
      <c r="K427" t="s">
        <v>1737</v>
      </c>
      <c r="L427">
        <v>950094185</v>
      </c>
      <c r="M427" t="s">
        <v>33</v>
      </c>
      <c r="N427" t="s">
        <v>34</v>
      </c>
      <c r="O427" t="s">
        <v>58</v>
      </c>
      <c r="P427" t="s">
        <v>66</v>
      </c>
      <c r="Q427">
        <v>17611429</v>
      </c>
      <c r="R427" t="s">
        <v>37</v>
      </c>
      <c r="S427" t="s">
        <v>537</v>
      </c>
      <c r="T427" t="s">
        <v>39</v>
      </c>
      <c r="W427" s="5">
        <f ca="1">+(TODAY()-Tabla2[[#This Row],[FECHA DE NACIMIENTO]])/360</f>
        <v>128.05833333333334</v>
      </c>
    </row>
    <row r="428" spans="1:23" x14ac:dyDescent="0.45">
      <c r="A428" t="s">
        <v>23</v>
      </c>
      <c r="B428" t="s">
        <v>659</v>
      </c>
      <c r="C428" t="s">
        <v>89</v>
      </c>
      <c r="D428" s="1">
        <v>45957</v>
      </c>
      <c r="E428" t="s">
        <v>1738</v>
      </c>
      <c r="F428" t="s">
        <v>1739</v>
      </c>
      <c r="G428" t="s">
        <v>28</v>
      </c>
      <c r="H428" t="s">
        <v>89</v>
      </c>
      <c r="I428" t="s">
        <v>1740</v>
      </c>
      <c r="J428" t="s">
        <v>215</v>
      </c>
      <c r="K428" t="s">
        <v>1741</v>
      </c>
      <c r="L428">
        <v>921808783</v>
      </c>
      <c r="M428" t="s">
        <v>34</v>
      </c>
      <c r="N428" t="s">
        <v>33</v>
      </c>
      <c r="O428" t="s">
        <v>58</v>
      </c>
      <c r="P428" t="s">
        <v>66</v>
      </c>
      <c r="Q428">
        <v>219200501</v>
      </c>
      <c r="R428" t="s">
        <v>37</v>
      </c>
      <c r="S428" t="s">
        <v>537</v>
      </c>
      <c r="T428" t="s">
        <v>39</v>
      </c>
      <c r="U428" s="1">
        <v>45991</v>
      </c>
      <c r="W428" s="5">
        <f ca="1">+(TODAY()-Tabla2[[#This Row],[FECHA DE NACIMIENTO]])/360</f>
        <v>128.05833333333334</v>
      </c>
    </row>
    <row r="429" spans="1:23" x14ac:dyDescent="0.45">
      <c r="A429" t="s">
        <v>23</v>
      </c>
      <c r="B429" t="s">
        <v>388</v>
      </c>
      <c r="C429" t="s">
        <v>89</v>
      </c>
      <c r="D429" s="1">
        <v>45957</v>
      </c>
      <c r="E429" t="s">
        <v>1742</v>
      </c>
      <c r="F429" t="s">
        <v>1743</v>
      </c>
      <c r="G429" t="s">
        <v>28</v>
      </c>
      <c r="H429" t="s">
        <v>1744</v>
      </c>
      <c r="I429" t="s">
        <v>1745</v>
      </c>
      <c r="J429" t="s">
        <v>643</v>
      </c>
      <c r="K429" t="s">
        <v>1746</v>
      </c>
      <c r="L429">
        <v>56961215567</v>
      </c>
      <c r="M429" t="s">
        <v>33</v>
      </c>
      <c r="N429" t="s">
        <v>34</v>
      </c>
      <c r="O429" t="s">
        <v>58</v>
      </c>
      <c r="P429" t="s">
        <v>66</v>
      </c>
      <c r="Q429">
        <v>18021791</v>
      </c>
      <c r="R429" t="s">
        <v>37</v>
      </c>
      <c r="S429" t="s">
        <v>137</v>
      </c>
      <c r="T429" t="s">
        <v>74</v>
      </c>
      <c r="U429" s="1">
        <v>45961</v>
      </c>
      <c r="W429" s="5">
        <f ca="1">+(TODAY()-Tabla2[[#This Row],[FECHA DE NACIMIENTO]])/360</f>
        <v>128.05833333333334</v>
      </c>
    </row>
    <row r="430" spans="1:23" x14ac:dyDescent="0.45">
      <c r="A430" t="s">
        <v>1266</v>
      </c>
      <c r="B430" t="s">
        <v>1359</v>
      </c>
      <c r="C430" t="s">
        <v>89</v>
      </c>
      <c r="D430" s="1">
        <v>45957</v>
      </c>
      <c r="E430" t="s">
        <v>1747</v>
      </c>
      <c r="F430" t="s">
        <v>1748</v>
      </c>
      <c r="G430" t="s">
        <v>42</v>
      </c>
      <c r="H430" t="s">
        <v>1749</v>
      </c>
      <c r="I430" t="s">
        <v>1750</v>
      </c>
      <c r="J430" t="s">
        <v>316</v>
      </c>
      <c r="K430" t="s">
        <v>1751</v>
      </c>
      <c r="L430">
        <v>988053334</v>
      </c>
      <c r="M430" t="s">
        <v>33</v>
      </c>
      <c r="N430" t="s">
        <v>34</v>
      </c>
      <c r="O430" t="s">
        <v>58</v>
      </c>
      <c r="P430" t="s">
        <v>66</v>
      </c>
      <c r="Q430">
        <v>19546350</v>
      </c>
      <c r="R430" t="s">
        <v>37</v>
      </c>
      <c r="S430" t="s">
        <v>38</v>
      </c>
      <c r="T430" t="s">
        <v>39</v>
      </c>
      <c r="U430" s="1">
        <v>45991</v>
      </c>
      <c r="W430" s="5">
        <f ca="1">+(TODAY()-Tabla2[[#This Row],[FECHA DE NACIMIENTO]])/360</f>
        <v>128.05833333333334</v>
      </c>
    </row>
    <row r="431" spans="1:23" x14ac:dyDescent="0.45">
      <c r="A431" t="s">
        <v>23</v>
      </c>
      <c r="B431" t="s">
        <v>1532</v>
      </c>
      <c r="C431" t="s">
        <v>89</v>
      </c>
      <c r="D431" s="1">
        <v>45957</v>
      </c>
      <c r="E431" t="s">
        <v>1752</v>
      </c>
      <c r="F431" t="s">
        <v>1753</v>
      </c>
      <c r="G431" t="s">
        <v>42</v>
      </c>
      <c r="H431" t="s">
        <v>156</v>
      </c>
      <c r="I431" t="s">
        <v>1754</v>
      </c>
      <c r="J431" t="s">
        <v>94</v>
      </c>
      <c r="K431" t="s">
        <v>1755</v>
      </c>
      <c r="L431">
        <v>971563125</v>
      </c>
      <c r="M431" t="s">
        <v>932</v>
      </c>
      <c r="N431" t="s">
        <v>34</v>
      </c>
      <c r="O431" t="s">
        <v>58</v>
      </c>
      <c r="P431" t="s">
        <v>48</v>
      </c>
      <c r="Q431">
        <v>108925008</v>
      </c>
      <c r="R431" t="s">
        <v>37</v>
      </c>
      <c r="S431" t="s">
        <v>38</v>
      </c>
      <c r="T431" t="s">
        <v>39</v>
      </c>
      <c r="U431" s="1">
        <v>46022</v>
      </c>
      <c r="W431" s="5">
        <f ca="1">+(TODAY()-Tabla2[[#This Row],[FECHA DE NACIMIENTO]])/360</f>
        <v>128.05833333333334</v>
      </c>
    </row>
    <row r="432" spans="1:23" x14ac:dyDescent="0.45">
      <c r="A432" t="s">
        <v>23</v>
      </c>
      <c r="B432" t="s">
        <v>1599</v>
      </c>
      <c r="C432" t="s">
        <v>89</v>
      </c>
      <c r="D432" s="1">
        <v>45957</v>
      </c>
      <c r="E432" t="s">
        <v>1756</v>
      </c>
      <c r="F432" t="s">
        <v>1757</v>
      </c>
      <c r="G432" t="s">
        <v>28</v>
      </c>
      <c r="H432" t="s">
        <v>680</v>
      </c>
      <c r="I432" t="s">
        <v>1758</v>
      </c>
      <c r="J432" t="s">
        <v>820</v>
      </c>
      <c r="K432" t="s">
        <v>1759</v>
      </c>
      <c r="L432">
        <v>56930168844</v>
      </c>
      <c r="M432" t="s">
        <v>33</v>
      </c>
      <c r="N432" t="s">
        <v>57</v>
      </c>
      <c r="O432" t="s">
        <v>58</v>
      </c>
      <c r="P432" t="s">
        <v>66</v>
      </c>
      <c r="Q432">
        <v>26765417</v>
      </c>
      <c r="R432" t="s">
        <v>37</v>
      </c>
      <c r="S432" t="s">
        <v>137</v>
      </c>
      <c r="T432" t="s">
        <v>39</v>
      </c>
      <c r="U432" s="1">
        <v>45991</v>
      </c>
      <c r="W432" s="5">
        <f ca="1">+(TODAY()-Tabla2[[#This Row],[FECHA DE NACIMIENTO]])/360</f>
        <v>128.05833333333334</v>
      </c>
    </row>
    <row r="433" spans="1:23" x14ac:dyDescent="0.45">
      <c r="A433" t="s">
        <v>645</v>
      </c>
      <c r="B433" t="s">
        <v>1636</v>
      </c>
      <c r="C433" t="s">
        <v>89</v>
      </c>
      <c r="D433" s="1">
        <v>45957</v>
      </c>
      <c r="E433" t="s">
        <v>1760</v>
      </c>
      <c r="F433" t="s">
        <v>1761</v>
      </c>
      <c r="G433" t="s">
        <v>42</v>
      </c>
      <c r="H433" t="s">
        <v>1762</v>
      </c>
      <c r="I433" t="s">
        <v>1763</v>
      </c>
      <c r="J433" t="s">
        <v>142</v>
      </c>
      <c r="K433" t="s">
        <v>1764</v>
      </c>
      <c r="L433">
        <v>56996587976</v>
      </c>
      <c r="M433" t="s">
        <v>33</v>
      </c>
      <c r="N433" t="s">
        <v>34</v>
      </c>
      <c r="O433" t="s">
        <v>58</v>
      </c>
      <c r="P433" t="s">
        <v>36</v>
      </c>
      <c r="Q433">
        <v>7401292505</v>
      </c>
      <c r="R433" t="s">
        <v>37</v>
      </c>
      <c r="S433" t="s">
        <v>137</v>
      </c>
      <c r="T433" t="s">
        <v>74</v>
      </c>
      <c r="U433" s="1">
        <v>46022</v>
      </c>
      <c r="W433" s="5">
        <f ca="1">+(TODAY()-Tabla2[[#This Row],[FECHA DE NACIMIENTO]])/360</f>
        <v>128.05833333333334</v>
      </c>
    </row>
    <row r="434" spans="1:23" x14ac:dyDescent="0.45">
      <c r="A434" t="s">
        <v>23</v>
      </c>
      <c r="B434" t="s">
        <v>659</v>
      </c>
      <c r="C434" t="s">
        <v>89</v>
      </c>
      <c r="D434" s="1">
        <v>45957</v>
      </c>
      <c r="E434" t="s">
        <v>1765</v>
      </c>
      <c r="F434" t="s">
        <v>1766</v>
      </c>
      <c r="G434" t="s">
        <v>42</v>
      </c>
      <c r="H434" t="s">
        <v>1767</v>
      </c>
      <c r="I434" t="s">
        <v>1768</v>
      </c>
      <c r="J434" t="s">
        <v>158</v>
      </c>
      <c r="K434" t="s">
        <v>1769</v>
      </c>
      <c r="L434">
        <v>951709299</v>
      </c>
      <c r="M434" t="s">
        <v>33</v>
      </c>
      <c r="N434" t="s">
        <v>57</v>
      </c>
      <c r="O434" t="s">
        <v>58</v>
      </c>
      <c r="P434" t="s">
        <v>48</v>
      </c>
      <c r="Q434">
        <v>111521131</v>
      </c>
      <c r="R434" t="s">
        <v>37</v>
      </c>
      <c r="S434" t="s">
        <v>38</v>
      </c>
      <c r="T434" t="s">
        <v>39</v>
      </c>
      <c r="U434" s="1">
        <v>45991</v>
      </c>
      <c r="W434" s="5">
        <f ca="1">+(TODAY()-Tabla2[[#This Row],[FECHA DE NACIMIENTO]])/360</f>
        <v>128.05833333333334</v>
      </c>
    </row>
    <row r="435" spans="1:23" x14ac:dyDescent="0.45">
      <c r="A435" t="s">
        <v>23</v>
      </c>
      <c r="B435" t="s">
        <v>88</v>
      </c>
      <c r="C435" t="s">
        <v>89</v>
      </c>
      <c r="D435" s="1">
        <v>45957</v>
      </c>
      <c r="E435" t="s">
        <v>1770</v>
      </c>
      <c r="F435" t="s">
        <v>1771</v>
      </c>
      <c r="G435" t="s">
        <v>28</v>
      </c>
      <c r="H435" t="s">
        <v>69</v>
      </c>
      <c r="I435" t="s">
        <v>1772</v>
      </c>
      <c r="J435" t="s">
        <v>338</v>
      </c>
      <c r="K435" t="s">
        <v>1773</v>
      </c>
      <c r="L435">
        <v>988686727</v>
      </c>
      <c r="M435" t="s">
        <v>56</v>
      </c>
      <c r="N435" t="s">
        <v>34</v>
      </c>
      <c r="O435" t="s">
        <v>58</v>
      </c>
      <c r="P435" t="s">
        <v>1635</v>
      </c>
      <c r="Q435">
        <v>1080097737</v>
      </c>
      <c r="R435" t="s">
        <v>37</v>
      </c>
      <c r="S435" t="s">
        <v>137</v>
      </c>
      <c r="T435" t="s">
        <v>39</v>
      </c>
      <c r="U435" s="1">
        <v>45961</v>
      </c>
      <c r="W435" s="5">
        <f ca="1">+(TODAY()-Tabla2[[#This Row],[FECHA DE NACIMIENTO]])/360</f>
        <v>128.05833333333334</v>
      </c>
    </row>
    <row r="436" spans="1:23" x14ac:dyDescent="0.45">
      <c r="A436" t="s">
        <v>645</v>
      </c>
      <c r="B436" t="s">
        <v>1636</v>
      </c>
      <c r="C436" t="s">
        <v>89</v>
      </c>
      <c r="D436" s="1">
        <v>45957</v>
      </c>
      <c r="E436" t="s">
        <v>1774</v>
      </c>
      <c r="F436" t="s">
        <v>1775</v>
      </c>
      <c r="G436" t="s">
        <v>42</v>
      </c>
      <c r="H436" t="s">
        <v>239</v>
      </c>
      <c r="I436" t="s">
        <v>1776</v>
      </c>
      <c r="J436" t="s">
        <v>152</v>
      </c>
      <c r="K436" t="s">
        <v>1777</v>
      </c>
      <c r="L436">
        <v>973841056</v>
      </c>
      <c r="M436" t="s">
        <v>33</v>
      </c>
      <c r="N436" t="s">
        <v>34</v>
      </c>
      <c r="O436" t="s">
        <v>58</v>
      </c>
      <c r="P436" t="s">
        <v>66</v>
      </c>
      <c r="Q436">
        <v>18726687</v>
      </c>
      <c r="R436" t="s">
        <v>37</v>
      </c>
      <c r="S436" t="s">
        <v>38</v>
      </c>
      <c r="T436" t="s">
        <v>39</v>
      </c>
      <c r="W436" s="5">
        <f ca="1">+(TODAY()-Tabla2[[#This Row],[FECHA DE NACIMIENTO]])/360</f>
        <v>128.05833333333334</v>
      </c>
    </row>
    <row r="437" spans="1:23" x14ac:dyDescent="0.45">
      <c r="A437" t="s">
        <v>23</v>
      </c>
      <c r="B437" t="s">
        <v>1778</v>
      </c>
      <c r="C437" t="s">
        <v>89</v>
      </c>
      <c r="D437" s="1">
        <v>45957</v>
      </c>
      <c r="E437" t="s">
        <v>1779</v>
      </c>
      <c r="F437" t="s">
        <v>1780</v>
      </c>
      <c r="G437" t="s">
        <v>28</v>
      </c>
      <c r="H437" t="s">
        <v>1038</v>
      </c>
      <c r="I437" t="s">
        <v>1781</v>
      </c>
      <c r="J437" t="s">
        <v>1782</v>
      </c>
      <c r="K437" t="s">
        <v>1783</v>
      </c>
      <c r="L437">
        <v>933388807</v>
      </c>
      <c r="M437" t="s">
        <v>33</v>
      </c>
      <c r="N437" t="s">
        <v>34</v>
      </c>
      <c r="O437" t="s">
        <v>58</v>
      </c>
      <c r="P437" t="s">
        <v>66</v>
      </c>
      <c r="Q437">
        <v>14608979</v>
      </c>
      <c r="R437" t="s">
        <v>37</v>
      </c>
      <c r="S437" t="s">
        <v>38</v>
      </c>
      <c r="T437" t="s">
        <v>39</v>
      </c>
      <c r="U437" s="1">
        <v>46022</v>
      </c>
      <c r="W437" s="5">
        <f ca="1">+(TODAY()-Tabla2[[#This Row],[FECHA DE NACIMIENTO]])/360</f>
        <v>128.05833333333334</v>
      </c>
    </row>
    <row r="438" spans="1:23" x14ac:dyDescent="0.45">
      <c r="A438" t="s">
        <v>23</v>
      </c>
      <c r="B438" t="s">
        <v>652</v>
      </c>
      <c r="C438" t="s">
        <v>89</v>
      </c>
      <c r="D438" s="1">
        <v>45957</v>
      </c>
      <c r="E438" t="s">
        <v>1784</v>
      </c>
      <c r="F438" t="s">
        <v>1785</v>
      </c>
      <c r="G438" t="s">
        <v>42</v>
      </c>
      <c r="H438" t="s">
        <v>1786</v>
      </c>
      <c r="I438" t="s">
        <v>1787</v>
      </c>
      <c r="J438" t="s">
        <v>516</v>
      </c>
      <c r="K438" t="s">
        <v>1788</v>
      </c>
      <c r="L438">
        <v>977023898</v>
      </c>
      <c r="M438" t="s">
        <v>33</v>
      </c>
      <c r="N438" t="s">
        <v>34</v>
      </c>
      <c r="O438" t="s">
        <v>58</v>
      </c>
      <c r="P438" t="s">
        <v>48</v>
      </c>
      <c r="Q438">
        <v>116624152</v>
      </c>
      <c r="R438" t="s">
        <v>37</v>
      </c>
      <c r="S438" t="s">
        <v>38</v>
      </c>
      <c r="T438" t="s">
        <v>39</v>
      </c>
      <c r="W438" s="5">
        <f ca="1">+(TODAY()-Tabla2[[#This Row],[FECHA DE NACIMIENTO]])/360</f>
        <v>128.05833333333334</v>
      </c>
    </row>
    <row r="439" spans="1:23" x14ac:dyDescent="0.45">
      <c r="A439" t="s">
        <v>23</v>
      </c>
      <c r="B439" t="s">
        <v>1778</v>
      </c>
      <c r="C439" t="s">
        <v>89</v>
      </c>
      <c r="D439" s="1">
        <v>45957</v>
      </c>
      <c r="E439" t="s">
        <v>1789</v>
      </c>
      <c r="F439" t="s">
        <v>1790</v>
      </c>
      <c r="G439" t="s">
        <v>42</v>
      </c>
      <c r="H439" t="s">
        <v>1749</v>
      </c>
      <c r="I439" t="s">
        <v>1791</v>
      </c>
      <c r="J439" t="s">
        <v>1782</v>
      </c>
      <c r="K439" t="s">
        <v>1792</v>
      </c>
      <c r="L439">
        <v>973803907</v>
      </c>
      <c r="M439" t="s">
        <v>683</v>
      </c>
      <c r="N439" t="s">
        <v>34</v>
      </c>
      <c r="O439" t="s">
        <v>58</v>
      </c>
      <c r="P439" t="s">
        <v>66</v>
      </c>
      <c r="Q439">
        <v>138781585</v>
      </c>
      <c r="R439" t="s">
        <v>60</v>
      </c>
      <c r="S439" t="s">
        <v>38</v>
      </c>
      <c r="T439" t="s">
        <v>39</v>
      </c>
      <c r="U439" s="1">
        <v>45991</v>
      </c>
      <c r="W439" s="5">
        <f ca="1">+(TODAY()-Tabla2[[#This Row],[FECHA DE NACIMIENTO]])/360</f>
        <v>128.05833333333334</v>
      </c>
    </row>
    <row r="440" spans="1:23" x14ac:dyDescent="0.45">
      <c r="A440" t="s">
        <v>23</v>
      </c>
      <c r="B440" t="s">
        <v>1532</v>
      </c>
      <c r="C440" t="s">
        <v>89</v>
      </c>
      <c r="D440" s="1">
        <v>45957</v>
      </c>
      <c r="E440" t="s">
        <v>1793</v>
      </c>
      <c r="F440" t="s">
        <v>1794</v>
      </c>
      <c r="G440" t="s">
        <v>28</v>
      </c>
      <c r="H440" t="s">
        <v>1019</v>
      </c>
      <c r="I440" t="s">
        <v>1795</v>
      </c>
      <c r="J440" t="s">
        <v>142</v>
      </c>
      <c r="K440" t="s">
        <v>1796</v>
      </c>
      <c r="L440">
        <v>983733702</v>
      </c>
      <c r="M440" t="s">
        <v>33</v>
      </c>
      <c r="N440" t="s">
        <v>34</v>
      </c>
      <c r="O440" t="s">
        <v>58</v>
      </c>
      <c r="P440" t="s">
        <v>66</v>
      </c>
      <c r="Q440">
        <v>21496990</v>
      </c>
      <c r="R440" t="s">
        <v>37</v>
      </c>
      <c r="S440" t="s">
        <v>137</v>
      </c>
      <c r="T440" t="s">
        <v>39</v>
      </c>
      <c r="U440" s="1">
        <v>46022</v>
      </c>
      <c r="W440" s="5">
        <f ca="1">+(TODAY()-Tabla2[[#This Row],[FECHA DE NACIMIENTO]])/360</f>
        <v>128.05833333333334</v>
      </c>
    </row>
    <row r="441" spans="1:23" x14ac:dyDescent="0.45">
      <c r="A441" t="s">
        <v>23</v>
      </c>
      <c r="B441" t="s">
        <v>1797</v>
      </c>
      <c r="C441" t="s">
        <v>89</v>
      </c>
      <c r="D441" s="1">
        <v>45957</v>
      </c>
      <c r="E441" t="s">
        <v>1798</v>
      </c>
      <c r="F441" t="s">
        <v>1799</v>
      </c>
      <c r="G441" t="s">
        <v>42</v>
      </c>
      <c r="H441" t="s">
        <v>1800</v>
      </c>
      <c r="I441" t="s">
        <v>1801</v>
      </c>
      <c r="J441" t="s">
        <v>316</v>
      </c>
      <c r="K441" t="s">
        <v>1802</v>
      </c>
      <c r="L441">
        <v>997713239</v>
      </c>
      <c r="M441" t="s">
        <v>81</v>
      </c>
      <c r="N441" t="s">
        <v>34</v>
      </c>
      <c r="O441" t="s">
        <v>35</v>
      </c>
      <c r="P441" t="s">
        <v>82</v>
      </c>
      <c r="Q441">
        <v>15170052487</v>
      </c>
      <c r="R441" t="s">
        <v>37</v>
      </c>
      <c r="S441" t="s">
        <v>38</v>
      </c>
      <c r="T441" t="s">
        <v>89</v>
      </c>
      <c r="U441" s="1">
        <v>46022</v>
      </c>
      <c r="W441" s="5">
        <f ca="1">+(TODAY()-Tabla2[[#This Row],[FECHA DE NACIMIENTO]])/360</f>
        <v>128.05833333333334</v>
      </c>
    </row>
    <row r="442" spans="1:23" x14ac:dyDescent="0.45">
      <c r="A442" t="s">
        <v>23</v>
      </c>
      <c r="B442" t="s">
        <v>1778</v>
      </c>
      <c r="C442" t="s">
        <v>89</v>
      </c>
      <c r="D442" s="1">
        <v>45957</v>
      </c>
      <c r="E442" t="s">
        <v>1803</v>
      </c>
      <c r="F442" t="s">
        <v>1804</v>
      </c>
      <c r="G442" t="s">
        <v>28</v>
      </c>
      <c r="H442" t="s">
        <v>636</v>
      </c>
      <c r="I442" t="s">
        <v>1805</v>
      </c>
      <c r="J442" t="s">
        <v>1806</v>
      </c>
      <c r="K442" t="s">
        <v>1807</v>
      </c>
      <c r="L442">
        <v>56988213434</v>
      </c>
      <c r="M442" t="s">
        <v>33</v>
      </c>
      <c r="N442" t="s">
        <v>34</v>
      </c>
      <c r="O442" t="s">
        <v>58</v>
      </c>
      <c r="P442" t="s">
        <v>66</v>
      </c>
      <c r="Q442">
        <v>11832394</v>
      </c>
      <c r="R442" t="s">
        <v>37</v>
      </c>
      <c r="S442" t="s">
        <v>38</v>
      </c>
      <c r="T442" t="s">
        <v>39</v>
      </c>
      <c r="U442" s="1">
        <v>46022</v>
      </c>
      <c r="W442" s="5">
        <f ca="1">+(TODAY()-Tabla2[[#This Row],[FECHA DE NACIMIENTO]])/360</f>
        <v>128.05833333333334</v>
      </c>
    </row>
    <row r="443" spans="1:23" x14ac:dyDescent="0.45">
      <c r="A443" t="s">
        <v>23</v>
      </c>
      <c r="B443" t="s">
        <v>1778</v>
      </c>
      <c r="C443" t="s">
        <v>89</v>
      </c>
      <c r="D443" s="1">
        <v>45957</v>
      </c>
      <c r="E443" t="s">
        <v>1808</v>
      </c>
      <c r="F443" t="s">
        <v>1809</v>
      </c>
      <c r="G443" t="s">
        <v>42</v>
      </c>
      <c r="H443" t="s">
        <v>981</v>
      </c>
      <c r="I443" t="s">
        <v>1810</v>
      </c>
      <c r="J443" t="s">
        <v>1811</v>
      </c>
      <c r="K443" t="s">
        <v>1812</v>
      </c>
      <c r="L443">
        <v>957903865</v>
      </c>
      <c r="M443" t="s">
        <v>33</v>
      </c>
      <c r="N443" t="s">
        <v>34</v>
      </c>
      <c r="O443" t="s">
        <v>58</v>
      </c>
      <c r="P443" t="s">
        <v>66</v>
      </c>
      <c r="Q443">
        <v>14582270</v>
      </c>
      <c r="R443" t="s">
        <v>60</v>
      </c>
      <c r="S443" t="s">
        <v>38</v>
      </c>
      <c r="T443" t="s">
        <v>89</v>
      </c>
      <c r="U443" s="1">
        <v>45991</v>
      </c>
      <c r="W443" s="5">
        <f ca="1">+(TODAY()-Tabla2[[#This Row],[FECHA DE NACIMIENTO]])/360</f>
        <v>128.05833333333334</v>
      </c>
    </row>
    <row r="444" spans="1:23" x14ac:dyDescent="0.45">
      <c r="A444" t="s">
        <v>23</v>
      </c>
      <c r="B444" t="s">
        <v>1778</v>
      </c>
      <c r="C444" t="s">
        <v>89</v>
      </c>
      <c r="D444" s="1">
        <v>45957</v>
      </c>
      <c r="E444" t="s">
        <v>1813</v>
      </c>
      <c r="F444" t="s">
        <v>1814</v>
      </c>
      <c r="G444" t="s">
        <v>28</v>
      </c>
      <c r="H444" t="s">
        <v>1109</v>
      </c>
      <c r="I444" t="s">
        <v>1815</v>
      </c>
      <c r="J444" t="s">
        <v>1806</v>
      </c>
      <c r="K444" t="s">
        <v>1816</v>
      </c>
      <c r="L444">
        <v>967272482</v>
      </c>
      <c r="M444" t="s">
        <v>56</v>
      </c>
      <c r="N444" t="s">
        <v>34</v>
      </c>
      <c r="O444" t="s">
        <v>35</v>
      </c>
      <c r="P444" t="s">
        <v>96</v>
      </c>
      <c r="Q444">
        <v>29626285</v>
      </c>
      <c r="R444" t="s">
        <v>37</v>
      </c>
      <c r="S444" t="s">
        <v>38</v>
      </c>
      <c r="T444" t="s">
        <v>89</v>
      </c>
      <c r="W444" s="5">
        <f ca="1">+(TODAY()-Tabla2[[#This Row],[FECHA DE NACIMIENTO]])/360</f>
        <v>128.05833333333334</v>
      </c>
    </row>
    <row r="445" spans="1:23" x14ac:dyDescent="0.45">
      <c r="A445" t="s">
        <v>23</v>
      </c>
      <c r="B445" t="s">
        <v>777</v>
      </c>
      <c r="C445" t="s">
        <v>89</v>
      </c>
      <c r="D445" s="1">
        <v>45957</v>
      </c>
      <c r="E445" t="s">
        <v>1817</v>
      </c>
      <c r="F445" t="s">
        <v>1818</v>
      </c>
      <c r="G445" t="s">
        <v>42</v>
      </c>
      <c r="H445" t="s">
        <v>485</v>
      </c>
      <c r="I445" t="s">
        <v>1819</v>
      </c>
      <c r="J445" t="s">
        <v>643</v>
      </c>
      <c r="K445" t="s">
        <v>1820</v>
      </c>
      <c r="L445">
        <v>56986735981</v>
      </c>
      <c r="M445" t="s">
        <v>33</v>
      </c>
      <c r="N445" t="s">
        <v>34</v>
      </c>
      <c r="O445" t="s">
        <v>35</v>
      </c>
      <c r="P445" t="s">
        <v>82</v>
      </c>
      <c r="Q445">
        <v>1999483818</v>
      </c>
      <c r="R445" t="s">
        <v>37</v>
      </c>
      <c r="S445" t="s">
        <v>537</v>
      </c>
      <c r="T445" t="s">
        <v>39</v>
      </c>
      <c r="U445" s="1">
        <v>45991</v>
      </c>
      <c r="W445" s="5">
        <f ca="1">+(TODAY()-Tabla2[[#This Row],[FECHA DE NACIMIENTO]])/360</f>
        <v>128.05833333333334</v>
      </c>
    </row>
    <row r="446" spans="1:23" x14ac:dyDescent="0.45">
      <c r="A446" t="s">
        <v>23</v>
      </c>
      <c r="B446" t="s">
        <v>652</v>
      </c>
      <c r="C446" t="s">
        <v>89</v>
      </c>
      <c r="D446" s="1">
        <v>45957</v>
      </c>
      <c r="E446" t="s">
        <v>1821</v>
      </c>
      <c r="F446" t="s">
        <v>1822</v>
      </c>
      <c r="G446" t="s">
        <v>42</v>
      </c>
      <c r="H446" t="s">
        <v>1823</v>
      </c>
      <c r="I446" t="s">
        <v>1824</v>
      </c>
      <c r="J446" t="s">
        <v>643</v>
      </c>
      <c r="K446" t="s">
        <v>1825</v>
      </c>
      <c r="L446">
        <v>56947466995</v>
      </c>
      <c r="M446" t="s">
        <v>56</v>
      </c>
      <c r="N446" t="s">
        <v>536</v>
      </c>
      <c r="O446" t="s">
        <v>58</v>
      </c>
      <c r="P446" t="s">
        <v>66</v>
      </c>
      <c r="Q446">
        <v>14702936</v>
      </c>
      <c r="R446" t="s">
        <v>37</v>
      </c>
      <c r="S446" t="s">
        <v>38</v>
      </c>
      <c r="T446" t="s">
        <v>39</v>
      </c>
      <c r="W446" s="5">
        <f ca="1">+(TODAY()-Tabla2[[#This Row],[FECHA DE NACIMIENTO]])/360</f>
        <v>128.05833333333334</v>
      </c>
    </row>
    <row r="447" spans="1:23" x14ac:dyDescent="0.45">
      <c r="A447" t="s">
        <v>23</v>
      </c>
      <c r="B447" t="s">
        <v>1778</v>
      </c>
      <c r="C447" t="s">
        <v>89</v>
      </c>
      <c r="D447" s="1">
        <v>45957</v>
      </c>
      <c r="E447" t="s">
        <v>1826</v>
      </c>
      <c r="F447" t="s">
        <v>1827</v>
      </c>
      <c r="G447" t="s">
        <v>42</v>
      </c>
      <c r="H447" t="s">
        <v>880</v>
      </c>
      <c r="I447" t="s">
        <v>1828</v>
      </c>
      <c r="J447" t="s">
        <v>1782</v>
      </c>
      <c r="K447" t="s">
        <v>1829</v>
      </c>
      <c r="L447">
        <v>56990003074</v>
      </c>
      <c r="M447" t="s">
        <v>932</v>
      </c>
      <c r="N447" t="s">
        <v>34</v>
      </c>
      <c r="O447" t="s">
        <v>58</v>
      </c>
      <c r="P447" t="s">
        <v>66</v>
      </c>
      <c r="Q447">
        <v>101110354</v>
      </c>
      <c r="R447" t="s">
        <v>37</v>
      </c>
      <c r="S447" t="s">
        <v>38</v>
      </c>
      <c r="T447" t="s">
        <v>89</v>
      </c>
      <c r="U447" s="1">
        <v>46022</v>
      </c>
      <c r="W447" s="5">
        <f ca="1">+(TODAY()-Tabla2[[#This Row],[FECHA DE NACIMIENTO]])/360</f>
        <v>128.05833333333334</v>
      </c>
    </row>
    <row r="448" spans="1:23" x14ac:dyDescent="0.45">
      <c r="A448" t="s">
        <v>23</v>
      </c>
      <c r="B448" t="s">
        <v>1778</v>
      </c>
      <c r="C448" t="s">
        <v>89</v>
      </c>
      <c r="D448" s="1">
        <v>45957</v>
      </c>
      <c r="E448" t="s">
        <v>1830</v>
      </c>
      <c r="F448" t="s">
        <v>1831</v>
      </c>
      <c r="G448" t="s">
        <v>28</v>
      </c>
      <c r="H448" t="s">
        <v>1832</v>
      </c>
      <c r="I448" t="s">
        <v>1833</v>
      </c>
      <c r="J448" t="s">
        <v>1782</v>
      </c>
      <c r="K448" t="s">
        <v>1834</v>
      </c>
      <c r="L448">
        <v>999104979</v>
      </c>
      <c r="M448" t="s">
        <v>683</v>
      </c>
      <c r="N448" t="s">
        <v>34</v>
      </c>
      <c r="O448" t="s">
        <v>58</v>
      </c>
      <c r="P448" t="s">
        <v>66</v>
      </c>
      <c r="Q448">
        <v>128757945</v>
      </c>
      <c r="R448" t="s">
        <v>37</v>
      </c>
      <c r="S448" t="s">
        <v>38</v>
      </c>
      <c r="T448" t="s">
        <v>39</v>
      </c>
      <c r="W448" s="5">
        <f ca="1">+(TODAY()-Tabla2[[#This Row],[FECHA DE NACIMIENTO]])/360</f>
        <v>128.05833333333334</v>
      </c>
    </row>
    <row r="449" spans="1:23" x14ac:dyDescent="0.45">
      <c r="A449" t="s">
        <v>645</v>
      </c>
      <c r="B449" t="s">
        <v>646</v>
      </c>
      <c r="C449" t="s">
        <v>25</v>
      </c>
      <c r="D449" s="1">
        <v>45964</v>
      </c>
      <c r="E449" t="s">
        <v>1835</v>
      </c>
      <c r="F449" t="s">
        <v>1836</v>
      </c>
      <c r="G449" t="s">
        <v>42</v>
      </c>
      <c r="H449" t="s">
        <v>1837</v>
      </c>
      <c r="I449" t="s">
        <v>1838</v>
      </c>
      <c r="J449" t="s">
        <v>375</v>
      </c>
      <c r="K449" t="s">
        <v>1839</v>
      </c>
      <c r="L449">
        <v>937807935</v>
      </c>
      <c r="M449" t="s">
        <v>683</v>
      </c>
      <c r="N449" t="s">
        <v>34</v>
      </c>
      <c r="O449" t="s">
        <v>58</v>
      </c>
      <c r="P449" t="s">
        <v>17</v>
      </c>
      <c r="Q449">
        <v>15021649</v>
      </c>
      <c r="R449" t="s">
        <v>37</v>
      </c>
      <c r="S449" t="s">
        <v>38</v>
      </c>
      <c r="T449" t="s">
        <v>89</v>
      </c>
      <c r="U449" s="1">
        <v>46022</v>
      </c>
      <c r="W449" s="5">
        <f ca="1">+(TODAY()-Tabla2[[#This Row],[FECHA DE NACIMIENTO]])/360</f>
        <v>128.05833333333334</v>
      </c>
    </row>
    <row r="450" spans="1:23" x14ac:dyDescent="0.45">
      <c r="A450" t="s">
        <v>23</v>
      </c>
      <c r="B450" t="s">
        <v>632</v>
      </c>
      <c r="C450" t="s">
        <v>633</v>
      </c>
      <c r="D450" s="1">
        <v>45964</v>
      </c>
      <c r="E450" t="s">
        <v>1840</v>
      </c>
      <c r="F450" t="s">
        <v>1841</v>
      </c>
      <c r="G450" t="s">
        <v>42</v>
      </c>
      <c r="H450" t="s">
        <v>1842</v>
      </c>
      <c r="I450" t="s">
        <v>1843</v>
      </c>
      <c r="J450" t="s">
        <v>393</v>
      </c>
      <c r="K450" t="s">
        <v>1844</v>
      </c>
      <c r="L450">
        <v>951409898</v>
      </c>
      <c r="M450" t="s">
        <v>33</v>
      </c>
      <c r="N450" t="s">
        <v>34</v>
      </c>
      <c r="O450" t="s">
        <v>58</v>
      </c>
      <c r="P450" t="s">
        <v>66</v>
      </c>
      <c r="Q450">
        <v>19584445</v>
      </c>
      <c r="R450" t="s">
        <v>37</v>
      </c>
      <c r="S450" t="s">
        <v>137</v>
      </c>
      <c r="T450" t="s">
        <v>39</v>
      </c>
      <c r="W450" s="5">
        <f ca="1">+(TODAY()-Tabla2[[#This Row],[FECHA DE NACIMIENTO]])/360</f>
        <v>128.05833333333334</v>
      </c>
    </row>
    <row r="451" spans="1:23" x14ac:dyDescent="0.45">
      <c r="A451" t="s">
        <v>23</v>
      </c>
      <c r="B451" t="s">
        <v>632</v>
      </c>
      <c r="C451" t="s">
        <v>633</v>
      </c>
      <c r="D451" s="1">
        <v>45964</v>
      </c>
      <c r="E451" t="s">
        <v>1845</v>
      </c>
      <c r="F451" t="s">
        <v>1846</v>
      </c>
      <c r="G451" t="s">
        <v>42</v>
      </c>
      <c r="H451" t="s">
        <v>1847</v>
      </c>
      <c r="I451" t="s">
        <v>1848</v>
      </c>
      <c r="J451" t="s">
        <v>516</v>
      </c>
      <c r="K451" t="s">
        <v>1849</v>
      </c>
      <c r="L451">
        <v>953056442</v>
      </c>
      <c r="M451" t="s">
        <v>33</v>
      </c>
      <c r="N451" t="s">
        <v>34</v>
      </c>
      <c r="O451" t="s">
        <v>35</v>
      </c>
      <c r="P451" t="s">
        <v>96</v>
      </c>
      <c r="Q451">
        <v>70938521</v>
      </c>
      <c r="R451" t="s">
        <v>37</v>
      </c>
      <c r="S451" t="s">
        <v>38</v>
      </c>
      <c r="T451" t="s">
        <v>74</v>
      </c>
      <c r="W451" s="5">
        <f ca="1">+(TODAY()-Tabla2[[#This Row],[FECHA DE NACIMIENTO]])/360</f>
        <v>128.05833333333334</v>
      </c>
    </row>
    <row r="452" spans="1:23" x14ac:dyDescent="0.45">
      <c r="A452" t="s">
        <v>23</v>
      </c>
      <c r="B452" t="s">
        <v>1797</v>
      </c>
      <c r="C452" t="s">
        <v>89</v>
      </c>
      <c r="D452" s="1">
        <v>45964</v>
      </c>
      <c r="E452" t="s">
        <v>1854</v>
      </c>
      <c r="F452" t="s">
        <v>1855</v>
      </c>
      <c r="G452" t="s">
        <v>42</v>
      </c>
      <c r="H452" t="s">
        <v>1856</v>
      </c>
      <c r="I452" t="s">
        <v>1857</v>
      </c>
      <c r="J452" t="s">
        <v>204</v>
      </c>
      <c r="K452" t="s">
        <v>1858</v>
      </c>
      <c r="L452">
        <v>974765977</v>
      </c>
      <c r="M452" t="s">
        <v>56</v>
      </c>
      <c r="N452" t="s">
        <v>34</v>
      </c>
      <c r="O452" t="s">
        <v>58</v>
      </c>
      <c r="P452" t="s">
        <v>17</v>
      </c>
      <c r="Q452">
        <v>10410981</v>
      </c>
      <c r="R452" t="s">
        <v>37</v>
      </c>
      <c r="S452" t="s">
        <v>38</v>
      </c>
      <c r="T452" t="s">
        <v>74</v>
      </c>
      <c r="U452" s="1">
        <v>45991</v>
      </c>
      <c r="W452" s="5">
        <f ca="1">+(TODAY()-Tabla2[[#This Row],[FECHA DE NACIMIENTO]])/360</f>
        <v>128.05833333333334</v>
      </c>
    </row>
    <row r="453" spans="1:23" x14ac:dyDescent="0.45">
      <c r="A453" t="s">
        <v>23</v>
      </c>
      <c r="B453" t="s">
        <v>632</v>
      </c>
      <c r="C453" t="s">
        <v>633</v>
      </c>
      <c r="D453" s="1">
        <v>45964</v>
      </c>
      <c r="E453" t="s">
        <v>1859</v>
      </c>
      <c r="F453" t="s">
        <v>1860</v>
      </c>
      <c r="G453" t="s">
        <v>28</v>
      </c>
      <c r="H453" t="s">
        <v>327</v>
      </c>
      <c r="I453" t="s">
        <v>1861</v>
      </c>
      <c r="J453" t="s">
        <v>820</v>
      </c>
      <c r="K453" t="s">
        <v>1862</v>
      </c>
      <c r="L453">
        <v>986624132</v>
      </c>
      <c r="M453" t="s">
        <v>33</v>
      </c>
      <c r="N453" t="s">
        <v>988</v>
      </c>
      <c r="O453" t="s">
        <v>58</v>
      </c>
      <c r="P453" t="s">
        <v>66</v>
      </c>
      <c r="Q453">
        <v>28997180</v>
      </c>
      <c r="R453" t="s">
        <v>37</v>
      </c>
      <c r="S453" t="s">
        <v>38</v>
      </c>
      <c r="T453" t="s">
        <v>39</v>
      </c>
      <c r="W453" s="5">
        <f ca="1">+(TODAY()-Tabla2[[#This Row],[FECHA DE NACIMIENTO]])/360</f>
        <v>128.05833333333334</v>
      </c>
    </row>
    <row r="454" spans="1:23" x14ac:dyDescent="0.45">
      <c r="A454" t="s">
        <v>23</v>
      </c>
      <c r="B454" t="s">
        <v>652</v>
      </c>
      <c r="C454" t="s">
        <v>89</v>
      </c>
      <c r="D454" s="1">
        <v>45964</v>
      </c>
      <c r="E454" t="s">
        <v>1875</v>
      </c>
      <c r="F454" t="s">
        <v>1876</v>
      </c>
      <c r="G454" t="s">
        <v>42</v>
      </c>
      <c r="H454" t="s">
        <v>1877</v>
      </c>
      <c r="I454" t="s">
        <v>1878</v>
      </c>
      <c r="J454" t="s">
        <v>142</v>
      </c>
      <c r="K454" t="s">
        <v>1879</v>
      </c>
      <c r="L454">
        <v>56940319626</v>
      </c>
      <c r="M454" t="s">
        <v>33</v>
      </c>
      <c r="N454" t="s">
        <v>34</v>
      </c>
      <c r="O454" t="s">
        <v>58</v>
      </c>
      <c r="P454" t="s">
        <v>66</v>
      </c>
      <c r="Q454">
        <v>170107926</v>
      </c>
      <c r="R454" t="s">
        <v>37</v>
      </c>
      <c r="S454" t="s">
        <v>38</v>
      </c>
      <c r="T454" t="s">
        <v>39</v>
      </c>
      <c r="W454" s="5">
        <f ca="1">+(TODAY()-Tabla2[[#This Row],[FECHA DE NACIMIENTO]])/360</f>
        <v>128.05833333333334</v>
      </c>
    </row>
    <row r="455" spans="1:23" x14ac:dyDescent="0.45">
      <c r="A455" t="s">
        <v>23</v>
      </c>
      <c r="B455" t="s">
        <v>652</v>
      </c>
      <c r="C455" t="s">
        <v>89</v>
      </c>
      <c r="D455" s="1">
        <v>45964</v>
      </c>
      <c r="E455" t="s">
        <v>1904</v>
      </c>
      <c r="F455" t="s">
        <v>1905</v>
      </c>
      <c r="G455" t="s">
        <v>42</v>
      </c>
      <c r="H455" t="s">
        <v>239</v>
      </c>
      <c r="I455" t="s">
        <v>1906</v>
      </c>
      <c r="J455" t="s">
        <v>54</v>
      </c>
      <c r="K455" t="s">
        <v>1907</v>
      </c>
      <c r="L455">
        <v>931705635</v>
      </c>
      <c r="M455" t="s">
        <v>33</v>
      </c>
      <c r="N455" t="s">
        <v>1908</v>
      </c>
      <c r="O455" t="s">
        <v>35</v>
      </c>
      <c r="P455" t="s">
        <v>36</v>
      </c>
      <c r="Q455">
        <v>87145794</v>
      </c>
      <c r="R455" t="s">
        <v>37</v>
      </c>
      <c r="S455" t="s">
        <v>38</v>
      </c>
      <c r="T455" t="s">
        <v>39</v>
      </c>
      <c r="W455" s="5">
        <f ca="1">+(TODAY()-Tabla2[[#This Row],[FECHA DE NACIMIENTO]])/360</f>
        <v>128.05833333333334</v>
      </c>
    </row>
    <row r="456" spans="1:23" x14ac:dyDescent="0.45">
      <c r="A456" t="s">
        <v>23</v>
      </c>
      <c r="B456" t="s">
        <v>659</v>
      </c>
      <c r="C456" t="s">
        <v>89</v>
      </c>
      <c r="D456" s="1">
        <v>45971</v>
      </c>
      <c r="E456" t="s">
        <v>1913</v>
      </c>
      <c r="F456" t="s">
        <v>1914</v>
      </c>
      <c r="G456" t="s">
        <v>42</v>
      </c>
      <c r="H456" t="s">
        <v>1915</v>
      </c>
      <c r="I456" t="s">
        <v>1916</v>
      </c>
      <c r="J456" t="s">
        <v>31</v>
      </c>
      <c r="K456" t="s">
        <v>1917</v>
      </c>
      <c r="L456">
        <v>947741387</v>
      </c>
      <c r="M456" t="s">
        <v>33</v>
      </c>
      <c r="N456" t="s">
        <v>34</v>
      </c>
      <c r="O456" t="s">
        <v>35</v>
      </c>
      <c r="P456" t="s">
        <v>1918</v>
      </c>
      <c r="Q456">
        <v>777915929906</v>
      </c>
      <c r="R456" t="s">
        <v>37</v>
      </c>
      <c r="S456" t="s">
        <v>38</v>
      </c>
      <c r="T456" t="s">
        <v>39</v>
      </c>
      <c r="W456" s="5">
        <f ca="1">+(TODAY()-Tabla2[[#This Row],[FECHA DE NACIMIENTO]])/360</f>
        <v>128.05833333333334</v>
      </c>
    </row>
    <row r="457" spans="1:23" x14ac:dyDescent="0.45">
      <c r="A457" t="s">
        <v>23</v>
      </c>
      <c r="B457" t="s">
        <v>1599</v>
      </c>
      <c r="C457" t="s">
        <v>89</v>
      </c>
      <c r="D457" s="1">
        <v>45971</v>
      </c>
      <c r="E457" t="s">
        <v>1923</v>
      </c>
      <c r="F457" t="s">
        <v>1924</v>
      </c>
      <c r="G457" t="s">
        <v>28</v>
      </c>
      <c r="H457" t="s">
        <v>1925</v>
      </c>
      <c r="I457" t="s">
        <v>1926</v>
      </c>
      <c r="J457" t="s">
        <v>165</v>
      </c>
      <c r="K457" t="s">
        <v>1927</v>
      </c>
      <c r="L457">
        <v>929201615</v>
      </c>
      <c r="M457" t="s">
        <v>33</v>
      </c>
      <c r="N457" t="s">
        <v>57</v>
      </c>
      <c r="O457" t="s">
        <v>58</v>
      </c>
      <c r="P457" t="s">
        <v>66</v>
      </c>
      <c r="Q457">
        <v>27208436</v>
      </c>
      <c r="R457" t="s">
        <v>37</v>
      </c>
      <c r="S457" t="s">
        <v>137</v>
      </c>
      <c r="T457" t="s">
        <v>39</v>
      </c>
      <c r="W457" s="5">
        <f ca="1">+(TODAY()-Tabla2[[#This Row],[FECHA DE NACIMIENTO]])/360</f>
        <v>128.05833333333334</v>
      </c>
    </row>
    <row r="458" spans="1:23" x14ac:dyDescent="0.45">
      <c r="A458" t="s">
        <v>23</v>
      </c>
      <c r="B458" t="s">
        <v>632</v>
      </c>
      <c r="C458" t="s">
        <v>633</v>
      </c>
      <c r="D458" s="1">
        <v>45971</v>
      </c>
      <c r="E458" t="s">
        <v>1953</v>
      </c>
      <c r="F458" t="s">
        <v>1954</v>
      </c>
      <c r="G458" t="s">
        <v>42</v>
      </c>
      <c r="H458" t="s">
        <v>1955</v>
      </c>
      <c r="I458" t="s">
        <v>1956</v>
      </c>
      <c r="J458" t="s">
        <v>204</v>
      </c>
      <c r="K458" t="s">
        <v>1957</v>
      </c>
      <c r="L458">
        <v>56966038021</v>
      </c>
      <c r="M458" t="s">
        <v>33</v>
      </c>
      <c r="N458" t="s">
        <v>536</v>
      </c>
      <c r="O458" t="s">
        <v>58</v>
      </c>
      <c r="P458" t="s">
        <v>66</v>
      </c>
      <c r="Q458">
        <v>24604379</v>
      </c>
      <c r="R458" t="s">
        <v>37</v>
      </c>
      <c r="S458" t="s">
        <v>38</v>
      </c>
      <c r="T458" t="s">
        <v>39</v>
      </c>
      <c r="U458" s="1">
        <v>46022</v>
      </c>
      <c r="W458" s="5">
        <f ca="1">+(TODAY()-Tabla2[[#This Row],[FECHA DE NACIMIENTO]])/360</f>
        <v>128.05833333333334</v>
      </c>
    </row>
    <row r="459" spans="1:23" x14ac:dyDescent="0.45">
      <c r="A459" t="s">
        <v>645</v>
      </c>
      <c r="B459" t="s">
        <v>666</v>
      </c>
      <c r="C459" t="s">
        <v>89</v>
      </c>
      <c r="D459" s="1">
        <v>45982</v>
      </c>
      <c r="E459" t="s">
        <v>1958</v>
      </c>
      <c r="F459" t="s">
        <v>1959</v>
      </c>
      <c r="G459" t="s">
        <v>28</v>
      </c>
      <c r="H459" t="s">
        <v>89</v>
      </c>
      <c r="I459" t="s">
        <v>1960</v>
      </c>
      <c r="J459" t="s">
        <v>1429</v>
      </c>
      <c r="K459" t="s">
        <v>1961</v>
      </c>
      <c r="L459">
        <v>56958663353</v>
      </c>
      <c r="M459" t="s">
        <v>33</v>
      </c>
      <c r="N459" t="s">
        <v>34</v>
      </c>
      <c r="O459" t="s">
        <v>58</v>
      </c>
      <c r="P459" t="s">
        <v>66</v>
      </c>
      <c r="Q459">
        <v>18707400</v>
      </c>
      <c r="R459" t="s">
        <v>37</v>
      </c>
      <c r="S459" t="s">
        <v>38</v>
      </c>
      <c r="T459" t="s">
        <v>39</v>
      </c>
      <c r="W459" s="5">
        <f ca="1">+(TODAY()-Tabla2[[#This Row],[FECHA DE NACIMIENTO]])/360</f>
        <v>128.05833333333334</v>
      </c>
    </row>
    <row r="460" spans="1:23" x14ac:dyDescent="0.45">
      <c r="A460" t="s">
        <v>23</v>
      </c>
      <c r="B460" t="s">
        <v>659</v>
      </c>
      <c r="C460" t="s">
        <v>89</v>
      </c>
      <c r="D460" s="1">
        <v>46001</v>
      </c>
      <c r="E460" t="s">
        <v>1967</v>
      </c>
      <c r="F460" t="s">
        <v>1968</v>
      </c>
      <c r="G460" t="s">
        <v>42</v>
      </c>
      <c r="H460" t="s">
        <v>1523</v>
      </c>
      <c r="I460" t="s">
        <v>1969</v>
      </c>
      <c r="J460" t="s">
        <v>699</v>
      </c>
      <c r="K460" t="s">
        <v>1970</v>
      </c>
      <c r="L460">
        <v>952066847</v>
      </c>
      <c r="M460" t="s">
        <v>33</v>
      </c>
      <c r="N460" t="s">
        <v>34</v>
      </c>
      <c r="O460" t="s">
        <v>58</v>
      </c>
      <c r="P460" t="s">
        <v>17</v>
      </c>
      <c r="R460" t="s">
        <v>37</v>
      </c>
      <c r="S460" t="s">
        <v>38</v>
      </c>
      <c r="T460" t="s">
        <v>89</v>
      </c>
      <c r="W460" s="5">
        <f ca="1">+(TODAY()-Tabla2[[#This Row],[FECHA DE NACIMIENTO]])/360</f>
        <v>128.05833333333334</v>
      </c>
    </row>
    <row r="461" spans="1:23" x14ac:dyDescent="0.45">
      <c r="A461" t="s">
        <v>23</v>
      </c>
      <c r="B461" t="s">
        <v>632</v>
      </c>
      <c r="C461" t="s">
        <v>633</v>
      </c>
      <c r="D461" s="1">
        <v>46001</v>
      </c>
      <c r="E461" t="s">
        <v>1985</v>
      </c>
      <c r="F461" t="s">
        <v>1986</v>
      </c>
      <c r="G461" t="s">
        <v>42</v>
      </c>
      <c r="H461" t="s">
        <v>1987</v>
      </c>
      <c r="I461" t="s">
        <v>1988</v>
      </c>
      <c r="J461" t="s">
        <v>31</v>
      </c>
      <c r="K461" t="s">
        <v>1989</v>
      </c>
      <c r="L461">
        <v>944715501</v>
      </c>
      <c r="M461" t="s">
        <v>81</v>
      </c>
      <c r="N461" t="s">
        <v>34</v>
      </c>
      <c r="O461" t="s">
        <v>58</v>
      </c>
      <c r="P461" t="s">
        <v>17</v>
      </c>
      <c r="Q461">
        <v>12652699</v>
      </c>
      <c r="R461" t="s">
        <v>37</v>
      </c>
      <c r="S461" t="s">
        <v>537</v>
      </c>
      <c r="T461" t="s">
        <v>39</v>
      </c>
      <c r="U461" s="1">
        <v>46022</v>
      </c>
      <c r="W461" s="5">
        <f ca="1">+(TODAY()-Tabla2[[#This Row],[FECHA DE NACIMIENTO]])/360</f>
        <v>128.05833333333334</v>
      </c>
    </row>
    <row r="462" spans="1:23" x14ac:dyDescent="0.45">
      <c r="A462" t="s">
        <v>23</v>
      </c>
      <c r="B462" t="s">
        <v>659</v>
      </c>
      <c r="C462" t="s">
        <v>89</v>
      </c>
      <c r="D462" s="1">
        <v>46001</v>
      </c>
      <c r="E462" t="s">
        <v>1990</v>
      </c>
      <c r="F462" t="s">
        <v>1991</v>
      </c>
      <c r="G462" t="s">
        <v>42</v>
      </c>
      <c r="H462" t="s">
        <v>850</v>
      </c>
      <c r="I462" t="s">
        <v>1992</v>
      </c>
      <c r="J462" t="s">
        <v>699</v>
      </c>
      <c r="K462" t="s">
        <v>1993</v>
      </c>
      <c r="L462">
        <v>991552330</v>
      </c>
      <c r="M462" t="s">
        <v>33</v>
      </c>
      <c r="N462" t="s">
        <v>34</v>
      </c>
      <c r="O462" t="s">
        <v>58</v>
      </c>
      <c r="P462" t="s">
        <v>66</v>
      </c>
      <c r="Q462">
        <v>21179103</v>
      </c>
      <c r="R462" t="s">
        <v>37</v>
      </c>
      <c r="S462" t="s">
        <v>38</v>
      </c>
      <c r="T462" t="s">
        <v>74</v>
      </c>
      <c r="W462" s="5">
        <f ca="1">+(TODAY()-Tabla2[[#This Row],[FECHA DE NACIMIENTO]])/360</f>
        <v>128.05833333333334</v>
      </c>
    </row>
    <row r="463" spans="1:23" x14ac:dyDescent="0.45">
      <c r="A463" t="s">
        <v>23</v>
      </c>
      <c r="B463" t="s">
        <v>652</v>
      </c>
      <c r="C463" t="s">
        <v>89</v>
      </c>
      <c r="D463" s="1">
        <v>46001</v>
      </c>
      <c r="E463" t="s">
        <v>2004</v>
      </c>
      <c r="F463" t="s">
        <v>2005</v>
      </c>
      <c r="G463" t="s">
        <v>28</v>
      </c>
      <c r="H463" t="s">
        <v>2006</v>
      </c>
      <c r="I463" t="s">
        <v>2007</v>
      </c>
      <c r="J463" t="s">
        <v>215</v>
      </c>
      <c r="K463" t="s">
        <v>2008</v>
      </c>
      <c r="L463">
        <v>56956665260</v>
      </c>
      <c r="M463" t="s">
        <v>81</v>
      </c>
      <c r="N463" t="s">
        <v>34</v>
      </c>
      <c r="O463" t="s">
        <v>58</v>
      </c>
      <c r="P463" t="s">
        <v>66</v>
      </c>
      <c r="Q463">
        <v>9494159</v>
      </c>
      <c r="R463" t="s">
        <v>37</v>
      </c>
      <c r="S463" t="s">
        <v>537</v>
      </c>
      <c r="T463" t="s">
        <v>39</v>
      </c>
      <c r="U463" s="1">
        <v>46022</v>
      </c>
      <c r="W463" s="5">
        <f ca="1">+(TODAY()-Tabla2[[#This Row],[FECHA DE NACIMIENTO]])/360</f>
        <v>128.05833333333334</v>
      </c>
    </row>
    <row r="464" spans="1:23" x14ac:dyDescent="0.45">
      <c r="A464" t="s">
        <v>23</v>
      </c>
      <c r="B464" t="s">
        <v>388</v>
      </c>
      <c r="C464" t="s">
        <v>89</v>
      </c>
      <c r="D464" s="1">
        <v>46001</v>
      </c>
      <c r="E464" t="s">
        <v>2009</v>
      </c>
      <c r="F464" t="s">
        <v>2010</v>
      </c>
      <c r="G464" t="s">
        <v>42</v>
      </c>
      <c r="H464" t="s">
        <v>2011</v>
      </c>
      <c r="I464" t="s">
        <v>2012</v>
      </c>
      <c r="J464" t="s">
        <v>310</v>
      </c>
      <c r="K464" t="s">
        <v>2013</v>
      </c>
      <c r="L464">
        <v>56987162558</v>
      </c>
      <c r="M464" t="s">
        <v>33</v>
      </c>
      <c r="N464" t="s">
        <v>34</v>
      </c>
      <c r="O464" t="s">
        <v>58</v>
      </c>
      <c r="P464" t="s">
        <v>66</v>
      </c>
      <c r="Q464">
        <v>217970555</v>
      </c>
      <c r="R464" t="s">
        <v>37</v>
      </c>
      <c r="S464" t="s">
        <v>38</v>
      </c>
      <c r="T464" t="s">
        <v>89</v>
      </c>
      <c r="U464" s="1">
        <v>46022</v>
      </c>
      <c r="W464" s="5">
        <f ca="1">+(TODAY()-Tabla2[[#This Row],[FECHA DE NACIMIENTO]])/360</f>
        <v>128.05833333333334</v>
      </c>
    </row>
    <row r="465" spans="1:23" x14ac:dyDescent="0.45">
      <c r="A465" t="s">
        <v>645</v>
      </c>
      <c r="B465" t="s">
        <v>666</v>
      </c>
      <c r="C465" t="s">
        <v>89</v>
      </c>
      <c r="D465" s="1">
        <v>45986</v>
      </c>
      <c r="E465" t="s">
        <v>2098</v>
      </c>
      <c r="F465" t="s">
        <v>2099</v>
      </c>
      <c r="G465" t="s">
        <v>28</v>
      </c>
      <c r="H465" t="s">
        <v>69</v>
      </c>
      <c r="I465" t="s">
        <v>2100</v>
      </c>
      <c r="J465" t="s">
        <v>158</v>
      </c>
      <c r="K465" t="s">
        <v>2101</v>
      </c>
      <c r="L465">
        <v>56935254463</v>
      </c>
      <c r="M465" t="s">
        <v>33</v>
      </c>
      <c r="N465" t="s">
        <v>34</v>
      </c>
      <c r="O465" t="s">
        <v>58</v>
      </c>
      <c r="P465" t="s">
        <v>66</v>
      </c>
      <c r="Q465">
        <v>16357815</v>
      </c>
      <c r="R465" t="s">
        <v>37</v>
      </c>
      <c r="S465" t="s">
        <v>137</v>
      </c>
      <c r="T465" t="s">
        <v>39</v>
      </c>
      <c r="U465" s="1">
        <v>46022</v>
      </c>
      <c r="W465" s="5">
        <f ca="1">+(TODAY()-Tabla2[[#This Row],[FECHA DE NACIMIENTO]])/360</f>
        <v>128.05833333333334</v>
      </c>
    </row>
    <row r="466" spans="1:23" x14ac:dyDescent="0.45">
      <c r="A466" t="s">
        <v>23</v>
      </c>
      <c r="B466" t="s">
        <v>659</v>
      </c>
      <c r="C466" t="s">
        <v>89</v>
      </c>
      <c r="D466" s="1">
        <v>45986</v>
      </c>
      <c r="E466" t="s">
        <v>2102</v>
      </c>
      <c r="F466" t="s">
        <v>2103</v>
      </c>
      <c r="G466" t="s">
        <v>42</v>
      </c>
      <c r="H466" t="s">
        <v>2104</v>
      </c>
      <c r="I466" t="s">
        <v>2105</v>
      </c>
      <c r="J466" t="s">
        <v>165</v>
      </c>
      <c r="K466" t="s">
        <v>2106</v>
      </c>
      <c r="L466">
        <v>56967976502</v>
      </c>
      <c r="M466" t="s">
        <v>33</v>
      </c>
      <c r="N466" t="s">
        <v>34</v>
      </c>
      <c r="O466" t="s">
        <v>35</v>
      </c>
      <c r="P466" t="s">
        <v>130</v>
      </c>
      <c r="Q466">
        <v>977145333</v>
      </c>
      <c r="R466" t="s">
        <v>37</v>
      </c>
      <c r="S466" t="s">
        <v>537</v>
      </c>
      <c r="T466" t="s">
        <v>39</v>
      </c>
      <c r="U466" s="1">
        <v>45991</v>
      </c>
      <c r="W466" s="5">
        <f ca="1">+(TODAY()-Tabla2[[#This Row],[FECHA DE NACIMIENTO]])/360</f>
        <v>128.05833333333334</v>
      </c>
    </row>
    <row r="467" spans="1:23" x14ac:dyDescent="0.45">
      <c r="A467" t="s">
        <v>645</v>
      </c>
      <c r="B467" t="s">
        <v>666</v>
      </c>
      <c r="C467" t="s">
        <v>89</v>
      </c>
      <c r="D467" s="1">
        <v>45986</v>
      </c>
      <c r="E467" t="s">
        <v>2107</v>
      </c>
      <c r="F467" t="s">
        <v>2108</v>
      </c>
      <c r="G467" t="s">
        <v>42</v>
      </c>
      <c r="H467" t="s">
        <v>957</v>
      </c>
      <c r="I467" t="s">
        <v>2109</v>
      </c>
      <c r="J467" t="s">
        <v>158</v>
      </c>
      <c r="K467" t="s">
        <v>2110</v>
      </c>
      <c r="L467">
        <v>978067884</v>
      </c>
      <c r="M467" t="s">
        <v>33</v>
      </c>
      <c r="N467" t="s">
        <v>34</v>
      </c>
      <c r="O467" t="s">
        <v>58</v>
      </c>
      <c r="P467" t="s">
        <v>17</v>
      </c>
      <c r="Q467">
        <v>21875993</v>
      </c>
      <c r="R467" t="s">
        <v>37</v>
      </c>
      <c r="S467" t="s">
        <v>537</v>
      </c>
      <c r="T467" t="s">
        <v>39</v>
      </c>
      <c r="W467" s="5">
        <f ca="1">+(TODAY()-Tabla2[[#This Row],[FECHA DE NACIMIENTO]])/360</f>
        <v>128.05833333333334</v>
      </c>
    </row>
    <row r="468" spans="1:23" x14ac:dyDescent="0.45">
      <c r="A468" t="s">
        <v>23</v>
      </c>
      <c r="B468" t="s">
        <v>659</v>
      </c>
      <c r="C468" t="s">
        <v>89</v>
      </c>
      <c r="D468" s="1">
        <v>45986</v>
      </c>
      <c r="E468" t="s">
        <v>2111</v>
      </c>
      <c r="F468" t="s">
        <v>2112</v>
      </c>
      <c r="G468" t="s">
        <v>42</v>
      </c>
      <c r="H468" t="s">
        <v>327</v>
      </c>
      <c r="I468" t="s">
        <v>663</v>
      </c>
      <c r="J468" t="s">
        <v>94</v>
      </c>
      <c r="K468" t="s">
        <v>2113</v>
      </c>
      <c r="L468">
        <v>937705709</v>
      </c>
      <c r="M468" t="s">
        <v>33</v>
      </c>
      <c r="N468" t="s">
        <v>536</v>
      </c>
      <c r="O468" t="s">
        <v>58</v>
      </c>
      <c r="P468" t="s">
        <v>66</v>
      </c>
      <c r="Q468">
        <v>24868573</v>
      </c>
      <c r="R468" t="s">
        <v>37</v>
      </c>
      <c r="S468" t="s">
        <v>537</v>
      </c>
      <c r="T468" t="s">
        <v>39</v>
      </c>
      <c r="W468" s="5">
        <f ca="1">+(TODAY()-Tabla2[[#This Row],[FECHA DE NACIMIENTO]])/360</f>
        <v>128.05833333333334</v>
      </c>
    </row>
    <row r="469" spans="1:23" x14ac:dyDescent="0.45">
      <c r="A469" t="s">
        <v>23</v>
      </c>
      <c r="B469" t="s">
        <v>659</v>
      </c>
      <c r="C469" t="s">
        <v>89</v>
      </c>
      <c r="D469" s="1">
        <v>45986</v>
      </c>
      <c r="E469" t="s">
        <v>2114</v>
      </c>
      <c r="F469" t="s">
        <v>2115</v>
      </c>
      <c r="G469" t="s">
        <v>42</v>
      </c>
      <c r="H469" t="s">
        <v>327</v>
      </c>
      <c r="I469" t="s">
        <v>2116</v>
      </c>
      <c r="J469" t="s">
        <v>338</v>
      </c>
      <c r="K469" t="s">
        <v>2117</v>
      </c>
      <c r="L469">
        <v>976670681</v>
      </c>
      <c r="M469" t="s">
        <v>33</v>
      </c>
      <c r="N469" t="s">
        <v>34</v>
      </c>
      <c r="O469" t="s">
        <v>35</v>
      </c>
      <c r="P469" t="s">
        <v>1942</v>
      </c>
      <c r="Q469">
        <v>15841174450</v>
      </c>
      <c r="R469" t="s">
        <v>37</v>
      </c>
      <c r="S469" t="s">
        <v>137</v>
      </c>
      <c r="T469" t="s">
        <v>74</v>
      </c>
      <c r="U469" s="1">
        <v>46022</v>
      </c>
      <c r="W469" s="5">
        <f ca="1">+(TODAY()-Tabla2[[#This Row],[FECHA DE NACIMIENTO]])/360</f>
        <v>128.05833333333334</v>
      </c>
    </row>
    <row r="470" spans="1:23" x14ac:dyDescent="0.45">
      <c r="A470" t="s">
        <v>23</v>
      </c>
      <c r="B470" t="s">
        <v>1359</v>
      </c>
      <c r="C470" t="s">
        <v>89</v>
      </c>
      <c r="D470" s="1">
        <v>45986</v>
      </c>
      <c r="E470" t="s">
        <v>2118</v>
      </c>
      <c r="F470" t="s">
        <v>2119</v>
      </c>
      <c r="G470" t="s">
        <v>28</v>
      </c>
      <c r="H470" t="s">
        <v>908</v>
      </c>
      <c r="I470" t="s">
        <v>2120</v>
      </c>
      <c r="J470" t="s">
        <v>142</v>
      </c>
      <c r="K470" t="s">
        <v>2121</v>
      </c>
      <c r="L470">
        <v>953422940</v>
      </c>
      <c r="M470" t="s">
        <v>33</v>
      </c>
      <c r="N470" t="s">
        <v>57</v>
      </c>
      <c r="O470" t="s">
        <v>35</v>
      </c>
      <c r="P470" t="s">
        <v>130</v>
      </c>
      <c r="Q470">
        <v>979026342</v>
      </c>
      <c r="R470" t="s">
        <v>37</v>
      </c>
      <c r="S470" t="s">
        <v>537</v>
      </c>
      <c r="T470" t="s">
        <v>39</v>
      </c>
      <c r="W470" s="5">
        <f ca="1">+(TODAY()-Tabla2[[#This Row],[FECHA DE NACIMIENTO]])/360</f>
        <v>128.05833333333334</v>
      </c>
    </row>
    <row r="471" spans="1:23" x14ac:dyDescent="0.45">
      <c r="A471" t="s">
        <v>645</v>
      </c>
      <c r="B471" t="s">
        <v>666</v>
      </c>
      <c r="C471" t="s">
        <v>89</v>
      </c>
      <c r="D471" s="1">
        <v>45986</v>
      </c>
      <c r="E471" t="s">
        <v>2122</v>
      </c>
      <c r="F471" t="s">
        <v>2123</v>
      </c>
      <c r="G471" t="s">
        <v>28</v>
      </c>
      <c r="H471" t="s">
        <v>69</v>
      </c>
      <c r="I471" t="s">
        <v>2124</v>
      </c>
      <c r="J471" t="s">
        <v>204</v>
      </c>
      <c r="K471" t="s">
        <v>2125</v>
      </c>
      <c r="L471">
        <v>56921966858</v>
      </c>
      <c r="M471" t="s">
        <v>33</v>
      </c>
      <c r="N471" t="s">
        <v>34</v>
      </c>
      <c r="O471" t="s">
        <v>35</v>
      </c>
      <c r="P471" t="s">
        <v>96</v>
      </c>
      <c r="Q471">
        <v>777915786780</v>
      </c>
      <c r="R471" t="s">
        <v>37</v>
      </c>
      <c r="S471" t="s">
        <v>537</v>
      </c>
      <c r="T471" t="s">
        <v>39</v>
      </c>
      <c r="W471" s="5">
        <f ca="1">+(TODAY()-Tabla2[[#This Row],[FECHA DE NACIMIENTO]])/360</f>
        <v>128.05833333333334</v>
      </c>
    </row>
    <row r="472" spans="1:23" x14ac:dyDescent="0.45">
      <c r="A472" t="s">
        <v>645</v>
      </c>
      <c r="B472" t="s">
        <v>666</v>
      </c>
      <c r="C472" t="s">
        <v>89</v>
      </c>
      <c r="D472" s="1">
        <v>45986</v>
      </c>
      <c r="E472" t="s">
        <v>2126</v>
      </c>
      <c r="F472" t="s">
        <v>2127</v>
      </c>
      <c r="G472" t="s">
        <v>42</v>
      </c>
      <c r="H472" t="s">
        <v>2128</v>
      </c>
      <c r="I472" t="s">
        <v>2129</v>
      </c>
      <c r="J472" t="s">
        <v>643</v>
      </c>
      <c r="K472" t="s">
        <v>2130</v>
      </c>
      <c r="L472">
        <v>984474220</v>
      </c>
      <c r="M472" t="s">
        <v>33</v>
      </c>
      <c r="N472" t="s">
        <v>34</v>
      </c>
      <c r="O472" t="s">
        <v>58</v>
      </c>
      <c r="P472" t="s">
        <v>17</v>
      </c>
      <c r="Q472">
        <v>16637121</v>
      </c>
      <c r="R472" t="s">
        <v>37</v>
      </c>
      <c r="S472" t="s">
        <v>537</v>
      </c>
      <c r="T472" t="s">
        <v>39</v>
      </c>
      <c r="W472" s="5">
        <f ca="1">+(TODAY()-Tabla2[[#This Row],[FECHA DE NACIMIENTO]])/360</f>
        <v>128.05833333333334</v>
      </c>
    </row>
    <row r="473" spans="1:23" x14ac:dyDescent="0.45">
      <c r="A473" t="s">
        <v>23</v>
      </c>
      <c r="B473" t="s">
        <v>659</v>
      </c>
      <c r="C473" t="s">
        <v>89</v>
      </c>
      <c r="D473" s="1">
        <v>45986</v>
      </c>
      <c r="E473" t="s">
        <v>2131</v>
      </c>
      <c r="F473" t="s">
        <v>2132</v>
      </c>
      <c r="G473" t="s">
        <v>42</v>
      </c>
      <c r="H473" t="s">
        <v>287</v>
      </c>
      <c r="I473" t="s">
        <v>2133</v>
      </c>
      <c r="J473" t="s">
        <v>643</v>
      </c>
      <c r="K473" t="s">
        <v>2134</v>
      </c>
      <c r="L473">
        <v>991702586</v>
      </c>
      <c r="M473" t="s">
        <v>56</v>
      </c>
      <c r="N473" t="s">
        <v>34</v>
      </c>
      <c r="O473" t="s">
        <v>58</v>
      </c>
      <c r="P473" t="s">
        <v>66</v>
      </c>
      <c r="Q473">
        <v>132589577</v>
      </c>
      <c r="R473" t="s">
        <v>37</v>
      </c>
      <c r="S473" t="s">
        <v>137</v>
      </c>
      <c r="T473" t="s">
        <v>74</v>
      </c>
      <c r="W473" s="5">
        <f ca="1">+(TODAY()-Tabla2[[#This Row],[FECHA DE NACIMIENTO]])/360</f>
        <v>128.05833333333334</v>
      </c>
    </row>
    <row r="474" spans="1:23" x14ac:dyDescent="0.45">
      <c r="A474" t="s">
        <v>23</v>
      </c>
      <c r="B474" t="s">
        <v>388</v>
      </c>
      <c r="C474" t="s">
        <v>89</v>
      </c>
      <c r="D474" s="1">
        <v>45986</v>
      </c>
      <c r="E474" t="s">
        <v>2135</v>
      </c>
      <c r="F474" t="s">
        <v>2136</v>
      </c>
      <c r="G474" t="s">
        <v>42</v>
      </c>
      <c r="H474" t="s">
        <v>69</v>
      </c>
      <c r="I474" t="s">
        <v>2137</v>
      </c>
      <c r="J474" t="s">
        <v>31</v>
      </c>
      <c r="K474" t="s">
        <v>2138</v>
      </c>
      <c r="L474">
        <v>995217164</v>
      </c>
      <c r="M474" t="s">
        <v>56</v>
      </c>
      <c r="N474" t="s">
        <v>34</v>
      </c>
      <c r="O474" t="s">
        <v>35</v>
      </c>
      <c r="P474" t="s">
        <v>2139</v>
      </c>
      <c r="Q474">
        <v>229850312</v>
      </c>
      <c r="R474" t="s">
        <v>37</v>
      </c>
      <c r="S474" t="s">
        <v>38</v>
      </c>
      <c r="T474" t="s">
        <v>39</v>
      </c>
      <c r="W474" s="5">
        <f ca="1">+(TODAY()-Tabla2[[#This Row],[FECHA DE NACIMIENTO]])/360</f>
        <v>128.05833333333334</v>
      </c>
    </row>
    <row r="475" spans="1:23" x14ac:dyDescent="0.45">
      <c r="A475" t="s">
        <v>23</v>
      </c>
      <c r="B475" t="s">
        <v>659</v>
      </c>
      <c r="C475" t="s">
        <v>89</v>
      </c>
      <c r="D475" s="1">
        <v>45986</v>
      </c>
      <c r="E475" t="s">
        <v>2140</v>
      </c>
      <c r="F475" t="s">
        <v>2141</v>
      </c>
      <c r="G475" t="s">
        <v>42</v>
      </c>
      <c r="H475" t="s">
        <v>430</v>
      </c>
      <c r="I475" t="s">
        <v>2142</v>
      </c>
      <c r="J475" t="s">
        <v>820</v>
      </c>
      <c r="K475" t="s">
        <v>2143</v>
      </c>
      <c r="L475">
        <v>956017491</v>
      </c>
      <c r="M475" t="s">
        <v>33</v>
      </c>
      <c r="N475" t="s">
        <v>34</v>
      </c>
      <c r="O475" t="s">
        <v>58</v>
      </c>
      <c r="P475" t="s">
        <v>17</v>
      </c>
      <c r="Q475">
        <v>19287852</v>
      </c>
      <c r="R475" t="s">
        <v>60</v>
      </c>
      <c r="S475" t="s">
        <v>38</v>
      </c>
      <c r="T475" t="s">
        <v>89</v>
      </c>
      <c r="W475" s="5">
        <f ca="1">+(TODAY()-Tabla2[[#This Row],[FECHA DE NACIMIENTO]])/360</f>
        <v>128.05833333333334</v>
      </c>
    </row>
    <row r="476" spans="1:23" x14ac:dyDescent="0.45">
      <c r="A476" t="s">
        <v>23</v>
      </c>
      <c r="B476" t="s">
        <v>659</v>
      </c>
      <c r="C476" t="s">
        <v>89</v>
      </c>
      <c r="D476" s="1">
        <v>45986</v>
      </c>
      <c r="E476" t="s">
        <v>2144</v>
      </c>
      <c r="F476" t="s">
        <v>2145</v>
      </c>
      <c r="G476" t="s">
        <v>28</v>
      </c>
      <c r="H476" t="s">
        <v>2146</v>
      </c>
      <c r="I476" t="s">
        <v>2147</v>
      </c>
      <c r="J476" t="s">
        <v>215</v>
      </c>
      <c r="K476" t="s">
        <v>2148</v>
      </c>
      <c r="L476">
        <v>56926293866</v>
      </c>
      <c r="M476" t="s">
        <v>33</v>
      </c>
      <c r="N476" t="s">
        <v>34</v>
      </c>
      <c r="O476" t="s">
        <v>35</v>
      </c>
      <c r="P476" t="s">
        <v>73</v>
      </c>
      <c r="Q476">
        <v>4017786838</v>
      </c>
      <c r="R476" t="s">
        <v>37</v>
      </c>
      <c r="S476" t="s">
        <v>38</v>
      </c>
      <c r="T476" t="s">
        <v>89</v>
      </c>
      <c r="W476" s="5">
        <f ca="1">+(TODAY()-Tabla2[[#This Row],[FECHA DE NACIMIENTO]])/360</f>
        <v>128.05833333333334</v>
      </c>
    </row>
    <row r="477" spans="1:23" x14ac:dyDescent="0.45">
      <c r="A477" t="s">
        <v>23</v>
      </c>
      <c r="B477" t="s">
        <v>125</v>
      </c>
      <c r="C477" t="s">
        <v>89</v>
      </c>
      <c r="D477" s="1">
        <v>45986</v>
      </c>
      <c r="E477" t="s">
        <v>2149</v>
      </c>
      <c r="F477" t="s">
        <v>2150</v>
      </c>
      <c r="G477" t="s">
        <v>42</v>
      </c>
      <c r="H477" t="s">
        <v>2151</v>
      </c>
      <c r="I477" t="s">
        <v>2152</v>
      </c>
      <c r="J477" t="s">
        <v>31</v>
      </c>
      <c r="K477" t="s">
        <v>2153</v>
      </c>
      <c r="L477">
        <v>974539647</v>
      </c>
      <c r="M477" t="s">
        <v>683</v>
      </c>
      <c r="N477" t="s">
        <v>34</v>
      </c>
      <c r="O477" t="s">
        <v>58</v>
      </c>
      <c r="P477" t="s">
        <v>677</v>
      </c>
      <c r="Q477">
        <v>82023027</v>
      </c>
      <c r="R477" t="s">
        <v>37</v>
      </c>
      <c r="S477" t="s">
        <v>137</v>
      </c>
      <c r="T477" t="s">
        <v>74</v>
      </c>
      <c r="U477" s="1">
        <v>46022</v>
      </c>
      <c r="W477" s="5">
        <f ca="1">+(TODAY()-Tabla2[[#This Row],[FECHA DE NACIMIENTO]])/360</f>
        <v>128.05833333333334</v>
      </c>
    </row>
    <row r="478" spans="1:23" x14ac:dyDescent="0.45">
      <c r="A478" t="s">
        <v>23</v>
      </c>
      <c r="B478" t="s">
        <v>1359</v>
      </c>
      <c r="C478" t="s">
        <v>89</v>
      </c>
      <c r="D478" s="1">
        <v>45986</v>
      </c>
      <c r="E478" t="s">
        <v>2154</v>
      </c>
      <c r="F478" t="s">
        <v>2155</v>
      </c>
      <c r="G478" t="s">
        <v>42</v>
      </c>
      <c r="H478" t="s">
        <v>2156</v>
      </c>
      <c r="I478" t="s">
        <v>2157</v>
      </c>
      <c r="J478" t="s">
        <v>204</v>
      </c>
      <c r="K478" t="s">
        <v>2158</v>
      </c>
      <c r="L478">
        <v>963684832</v>
      </c>
      <c r="M478" t="s">
        <v>81</v>
      </c>
      <c r="N478" t="s">
        <v>34</v>
      </c>
      <c r="O478" t="s">
        <v>58</v>
      </c>
      <c r="P478" t="s">
        <v>36</v>
      </c>
      <c r="Q478">
        <v>7057747085</v>
      </c>
      <c r="R478" t="s">
        <v>37</v>
      </c>
      <c r="S478" t="s">
        <v>537</v>
      </c>
      <c r="T478" t="s">
        <v>39</v>
      </c>
      <c r="U478" s="1">
        <v>45961</v>
      </c>
      <c r="W478" s="5">
        <f ca="1">+(TODAY()-Tabla2[[#This Row],[FECHA DE NACIMIENTO]])/360</f>
        <v>128.05833333333334</v>
      </c>
    </row>
    <row r="479" spans="1:23" x14ac:dyDescent="0.45">
      <c r="A479" t="s">
        <v>23</v>
      </c>
      <c r="B479" t="s">
        <v>2159</v>
      </c>
      <c r="C479" t="s">
        <v>89</v>
      </c>
      <c r="E479" t="s">
        <v>2160</v>
      </c>
      <c r="F479" t="s">
        <v>2161</v>
      </c>
      <c r="G479" t="s">
        <v>42</v>
      </c>
      <c r="H479" t="s">
        <v>239</v>
      </c>
      <c r="I479" t="s">
        <v>2162</v>
      </c>
      <c r="J479" t="s">
        <v>31</v>
      </c>
      <c r="K479" t="s">
        <v>2163</v>
      </c>
      <c r="L479">
        <v>945917857</v>
      </c>
      <c r="M479" t="s">
        <v>81</v>
      </c>
      <c r="N479" t="s">
        <v>34</v>
      </c>
      <c r="O479" t="s">
        <v>58</v>
      </c>
      <c r="P479" t="s">
        <v>66</v>
      </c>
      <c r="Q479">
        <v>108264098</v>
      </c>
      <c r="R479" t="s">
        <v>37</v>
      </c>
      <c r="S479" t="s">
        <v>38</v>
      </c>
      <c r="T479" t="s">
        <v>39</v>
      </c>
      <c r="U479" s="1">
        <v>45961</v>
      </c>
      <c r="W479" s="5">
        <f ca="1">+(TODAY()-Tabla2[[#This Row],[FECHA DE NACIMIENTO]])/360</f>
        <v>128.05833333333334</v>
      </c>
    </row>
    <row r="480" spans="1:23" x14ac:dyDescent="0.45">
      <c r="A480" t="s">
        <v>23</v>
      </c>
      <c r="B480" t="s">
        <v>2164</v>
      </c>
      <c r="C480" t="s">
        <v>89</v>
      </c>
      <c r="E480" t="s">
        <v>2165</v>
      </c>
      <c r="F480" t="s">
        <v>2166</v>
      </c>
      <c r="G480" t="s">
        <v>42</v>
      </c>
      <c r="H480" t="s">
        <v>2167</v>
      </c>
      <c r="I480" t="s">
        <v>2168</v>
      </c>
      <c r="J480" t="s">
        <v>31</v>
      </c>
      <c r="K480" t="s">
        <v>2169</v>
      </c>
      <c r="L480">
        <v>966701450</v>
      </c>
      <c r="M480" t="s">
        <v>33</v>
      </c>
      <c r="N480" t="s">
        <v>34</v>
      </c>
      <c r="O480" t="s">
        <v>58</v>
      </c>
      <c r="P480" t="s">
        <v>66</v>
      </c>
      <c r="Q480">
        <v>18637886</v>
      </c>
      <c r="R480" t="s">
        <v>37</v>
      </c>
      <c r="S480" t="s">
        <v>38</v>
      </c>
      <c r="T480" t="s">
        <v>74</v>
      </c>
      <c r="U480" s="1">
        <v>45808</v>
      </c>
      <c r="W480" s="5">
        <f ca="1">+(TODAY()-Tabla2[[#This Row],[FECHA DE NACIMIENTO]])/360</f>
        <v>128.05833333333334</v>
      </c>
    </row>
    <row r="481" spans="1:23" x14ac:dyDescent="0.45">
      <c r="A481" t="s">
        <v>23</v>
      </c>
      <c r="B481" t="s">
        <v>125</v>
      </c>
      <c r="C481" t="s">
        <v>89</v>
      </c>
      <c r="E481" t="s">
        <v>2170</v>
      </c>
      <c r="F481" t="s">
        <v>2171</v>
      </c>
      <c r="G481" t="s">
        <v>42</v>
      </c>
      <c r="H481" t="s">
        <v>327</v>
      </c>
      <c r="I481" t="s">
        <v>2172</v>
      </c>
      <c r="J481" t="s">
        <v>915</v>
      </c>
      <c r="K481" t="s">
        <v>2173</v>
      </c>
      <c r="L481">
        <v>928612987</v>
      </c>
      <c r="M481" t="s">
        <v>33</v>
      </c>
      <c r="N481" t="s">
        <v>34</v>
      </c>
      <c r="O481" t="s">
        <v>58</v>
      </c>
      <c r="P481" t="s">
        <v>66</v>
      </c>
      <c r="Q481">
        <v>21040336</v>
      </c>
      <c r="R481" t="s">
        <v>37</v>
      </c>
      <c r="S481" t="s">
        <v>537</v>
      </c>
      <c r="T481" t="s">
        <v>39</v>
      </c>
      <c r="U481" s="1">
        <v>45808</v>
      </c>
      <c r="W481" s="5">
        <f ca="1">+(TODAY()-Tabla2[[#This Row],[FECHA DE NACIMIENTO]])/360</f>
        <v>128.05833333333334</v>
      </c>
    </row>
    <row r="482" spans="1:23" x14ac:dyDescent="0.45">
      <c r="A482" t="s">
        <v>23</v>
      </c>
      <c r="B482" t="s">
        <v>2159</v>
      </c>
      <c r="C482" t="s">
        <v>89</v>
      </c>
      <c r="E482" t="s">
        <v>2174</v>
      </c>
      <c r="F482" t="s">
        <v>2175</v>
      </c>
      <c r="G482" t="s">
        <v>42</v>
      </c>
      <c r="I482" t="s">
        <v>2176</v>
      </c>
      <c r="J482" t="s">
        <v>834</v>
      </c>
      <c r="K482" t="s">
        <v>2177</v>
      </c>
      <c r="L482">
        <v>939459427</v>
      </c>
      <c r="M482" t="s">
        <v>33</v>
      </c>
      <c r="N482" t="s">
        <v>34</v>
      </c>
      <c r="O482" t="s">
        <v>58</v>
      </c>
      <c r="P482" t="s">
        <v>66</v>
      </c>
      <c r="Q482">
        <v>211922400</v>
      </c>
      <c r="R482" t="s">
        <v>37</v>
      </c>
      <c r="S482" t="s">
        <v>537</v>
      </c>
      <c r="T482" t="s">
        <v>39</v>
      </c>
      <c r="U482" s="1">
        <v>45961</v>
      </c>
      <c r="W482" s="5">
        <f ca="1">+(TODAY()-Tabla2[[#This Row],[FECHA DE NACIMIENTO]])/360</f>
        <v>128.05833333333334</v>
      </c>
    </row>
    <row r="483" spans="1:23" x14ac:dyDescent="0.45">
      <c r="A483" t="s">
        <v>23</v>
      </c>
      <c r="B483" t="s">
        <v>2159</v>
      </c>
      <c r="C483" t="s">
        <v>89</v>
      </c>
      <c r="E483" t="s">
        <v>2178</v>
      </c>
      <c r="F483" t="s">
        <v>2179</v>
      </c>
      <c r="G483" t="s">
        <v>42</v>
      </c>
      <c r="I483" t="s">
        <v>2180</v>
      </c>
      <c r="J483" t="s">
        <v>316</v>
      </c>
      <c r="K483" t="s">
        <v>2181</v>
      </c>
      <c r="L483">
        <v>949492656</v>
      </c>
      <c r="M483" t="s">
        <v>33</v>
      </c>
      <c r="N483" t="s">
        <v>34</v>
      </c>
      <c r="O483" t="s">
        <v>58</v>
      </c>
      <c r="P483" t="s">
        <v>66</v>
      </c>
      <c r="Q483">
        <v>18150664</v>
      </c>
      <c r="R483" t="s">
        <v>37</v>
      </c>
      <c r="S483" t="s">
        <v>38</v>
      </c>
      <c r="T483" t="s">
        <v>39</v>
      </c>
      <c r="U483" s="1">
        <v>45777</v>
      </c>
      <c r="W483" s="5">
        <f ca="1">+(TODAY()-Tabla2[[#This Row],[FECHA DE NACIMIENTO]])/360</f>
        <v>128.05833333333334</v>
      </c>
    </row>
    <row r="484" spans="1:23" x14ac:dyDescent="0.45">
      <c r="A484" t="s">
        <v>23</v>
      </c>
      <c r="B484" t="s">
        <v>812</v>
      </c>
      <c r="C484" t="s">
        <v>89</v>
      </c>
      <c r="E484" t="s">
        <v>2182</v>
      </c>
      <c r="F484" t="s">
        <v>2183</v>
      </c>
      <c r="G484" t="s">
        <v>28</v>
      </c>
      <c r="I484" t="s">
        <v>2184</v>
      </c>
      <c r="J484" t="s">
        <v>393</v>
      </c>
      <c r="K484" t="s">
        <v>2185</v>
      </c>
      <c r="L484">
        <v>957528247</v>
      </c>
      <c r="M484" t="s">
        <v>56</v>
      </c>
      <c r="N484" t="s">
        <v>34</v>
      </c>
      <c r="R484" t="s">
        <v>37</v>
      </c>
      <c r="S484" t="s">
        <v>137</v>
      </c>
      <c r="T484" t="s">
        <v>74</v>
      </c>
      <c r="U484" s="1">
        <v>45808</v>
      </c>
      <c r="W484" s="5">
        <f ca="1">+(TODAY()-Tabla2[[#This Row],[FECHA DE NACIMIENTO]])/360</f>
        <v>128.05833333333334</v>
      </c>
    </row>
    <row r="485" spans="1:23" x14ac:dyDescent="0.45">
      <c r="A485" t="s">
        <v>23</v>
      </c>
      <c r="B485" t="s">
        <v>812</v>
      </c>
      <c r="C485" t="s">
        <v>89</v>
      </c>
      <c r="E485" t="s">
        <v>2186</v>
      </c>
      <c r="F485" t="s">
        <v>2187</v>
      </c>
      <c r="G485" t="s">
        <v>28</v>
      </c>
      <c r="I485" t="s">
        <v>2188</v>
      </c>
      <c r="J485" t="s">
        <v>215</v>
      </c>
      <c r="K485" t="s">
        <v>2189</v>
      </c>
      <c r="L485">
        <v>953967712</v>
      </c>
      <c r="M485" t="s">
        <v>33</v>
      </c>
      <c r="N485" t="s">
        <v>34</v>
      </c>
      <c r="O485" t="s">
        <v>58</v>
      </c>
      <c r="P485" t="s">
        <v>82</v>
      </c>
      <c r="Q485">
        <v>50011032512</v>
      </c>
      <c r="R485" t="s">
        <v>37</v>
      </c>
      <c r="S485" t="s">
        <v>38</v>
      </c>
      <c r="T485" t="s">
        <v>39</v>
      </c>
      <c r="U485" s="1">
        <v>45777</v>
      </c>
      <c r="W485" s="5">
        <f ca="1">+(TODAY()-Tabla2[[#This Row],[FECHA DE NACIMIENTO]])/360</f>
        <v>128.05833333333334</v>
      </c>
    </row>
    <row r="486" spans="1:23" x14ac:dyDescent="0.45">
      <c r="A486" t="s">
        <v>23</v>
      </c>
      <c r="B486" t="s">
        <v>88</v>
      </c>
      <c r="C486" t="s">
        <v>89</v>
      </c>
      <c r="E486" t="s">
        <v>2190</v>
      </c>
      <c r="F486" t="s">
        <v>2191</v>
      </c>
      <c r="G486" t="s">
        <v>42</v>
      </c>
      <c r="H486" t="s">
        <v>850</v>
      </c>
      <c r="I486" t="s">
        <v>2192</v>
      </c>
      <c r="J486" t="s">
        <v>229</v>
      </c>
      <c r="K486" t="s">
        <v>2193</v>
      </c>
      <c r="L486">
        <v>971888250</v>
      </c>
      <c r="M486" t="s">
        <v>33</v>
      </c>
      <c r="N486" t="s">
        <v>34</v>
      </c>
      <c r="O486" t="s">
        <v>58</v>
      </c>
      <c r="P486" t="s">
        <v>96</v>
      </c>
      <c r="Q486">
        <v>85511188</v>
      </c>
      <c r="R486" t="s">
        <v>37</v>
      </c>
      <c r="S486" t="s">
        <v>38</v>
      </c>
      <c r="T486" t="s">
        <v>39</v>
      </c>
      <c r="U486" s="1">
        <v>45808</v>
      </c>
      <c r="W486" s="5">
        <f ca="1">+(TODAY()-Tabla2[[#This Row],[FECHA DE NACIMIENTO]])/360</f>
        <v>128.05833333333334</v>
      </c>
    </row>
    <row r="487" spans="1:23" x14ac:dyDescent="0.45">
      <c r="A487" t="s">
        <v>23</v>
      </c>
      <c r="B487" t="s">
        <v>812</v>
      </c>
      <c r="C487" t="s">
        <v>89</v>
      </c>
      <c r="E487" t="s">
        <v>2194</v>
      </c>
      <c r="F487" t="s">
        <v>2195</v>
      </c>
      <c r="G487" t="s">
        <v>28</v>
      </c>
      <c r="H487" t="s">
        <v>908</v>
      </c>
      <c r="I487" t="s">
        <v>2196</v>
      </c>
      <c r="J487" t="s">
        <v>820</v>
      </c>
      <c r="K487" t="s">
        <v>2197</v>
      </c>
      <c r="L487">
        <v>941643422</v>
      </c>
      <c r="M487" t="s">
        <v>33</v>
      </c>
      <c r="N487" t="s">
        <v>34</v>
      </c>
      <c r="O487" t="s">
        <v>58</v>
      </c>
      <c r="P487" t="s">
        <v>66</v>
      </c>
      <c r="Q487">
        <v>13565390</v>
      </c>
      <c r="R487" t="s">
        <v>37</v>
      </c>
      <c r="S487" t="s">
        <v>537</v>
      </c>
      <c r="T487" t="s">
        <v>39</v>
      </c>
      <c r="U487" s="1">
        <v>45961</v>
      </c>
      <c r="W487" s="5">
        <f ca="1">+(TODAY()-Tabla2[[#This Row],[FECHA DE NACIMIENTO]])/360</f>
        <v>128.05833333333334</v>
      </c>
    </row>
    <row r="488" spans="1:23" x14ac:dyDescent="0.45">
      <c r="A488" t="s">
        <v>23</v>
      </c>
      <c r="B488" t="s">
        <v>2159</v>
      </c>
      <c r="C488" t="s">
        <v>89</v>
      </c>
      <c r="E488" t="s">
        <v>2198</v>
      </c>
      <c r="F488" t="s">
        <v>2199</v>
      </c>
      <c r="G488" t="s">
        <v>28</v>
      </c>
      <c r="H488" t="s">
        <v>2200</v>
      </c>
      <c r="I488" t="s">
        <v>2201</v>
      </c>
      <c r="J488" t="s">
        <v>393</v>
      </c>
      <c r="K488" t="s">
        <v>2202</v>
      </c>
      <c r="L488">
        <v>939049026</v>
      </c>
      <c r="M488" t="s">
        <v>33</v>
      </c>
      <c r="N488" t="s">
        <v>34</v>
      </c>
      <c r="O488" t="s">
        <v>58</v>
      </c>
      <c r="P488" t="s">
        <v>48</v>
      </c>
      <c r="Q488">
        <v>514721088</v>
      </c>
      <c r="R488" t="s">
        <v>37</v>
      </c>
      <c r="S488" t="s">
        <v>537</v>
      </c>
      <c r="T488" t="s">
        <v>39</v>
      </c>
      <c r="U488" s="1">
        <v>45777</v>
      </c>
      <c r="W488" s="5">
        <f ca="1">+(TODAY()-Tabla2[[#This Row],[FECHA DE NACIMIENTO]])/360</f>
        <v>128.05833333333334</v>
      </c>
    </row>
    <row r="489" spans="1:23" x14ac:dyDescent="0.45">
      <c r="A489" t="s">
        <v>23</v>
      </c>
      <c r="B489" t="s">
        <v>2159</v>
      </c>
      <c r="C489" t="s">
        <v>89</v>
      </c>
      <c r="E489" t="s">
        <v>2203</v>
      </c>
      <c r="F489" t="s">
        <v>2204</v>
      </c>
      <c r="G489" t="s">
        <v>42</v>
      </c>
      <c r="I489" t="s">
        <v>2205</v>
      </c>
      <c r="J489" t="s">
        <v>834</v>
      </c>
      <c r="K489" t="s">
        <v>2206</v>
      </c>
      <c r="L489">
        <v>949459508</v>
      </c>
      <c r="M489" t="s">
        <v>33</v>
      </c>
      <c r="N489" t="s">
        <v>34</v>
      </c>
      <c r="O489" t="s">
        <v>58</v>
      </c>
      <c r="P489" t="s">
        <v>66</v>
      </c>
      <c r="Q489">
        <v>20198880</v>
      </c>
      <c r="R489" t="s">
        <v>37</v>
      </c>
      <c r="S489" t="s">
        <v>137</v>
      </c>
      <c r="T489" t="s">
        <v>74</v>
      </c>
      <c r="U489" s="1">
        <v>45961</v>
      </c>
      <c r="W489" s="5">
        <f ca="1">+(TODAY()-Tabla2[[#This Row],[FECHA DE NACIMIENTO]])/360</f>
        <v>128.05833333333334</v>
      </c>
    </row>
    <row r="490" spans="1:23" x14ac:dyDescent="0.45">
      <c r="A490" t="s">
        <v>23</v>
      </c>
      <c r="B490" t="s">
        <v>2164</v>
      </c>
      <c r="C490" t="s">
        <v>89</v>
      </c>
      <c r="E490" t="s">
        <v>2207</v>
      </c>
      <c r="F490" t="s">
        <v>2208</v>
      </c>
      <c r="G490" t="s">
        <v>28</v>
      </c>
      <c r="H490" t="s">
        <v>2209</v>
      </c>
      <c r="I490" t="s">
        <v>2210</v>
      </c>
      <c r="J490" t="s">
        <v>142</v>
      </c>
      <c r="K490" t="s">
        <v>2211</v>
      </c>
      <c r="L490">
        <v>934856736</v>
      </c>
      <c r="M490" t="s">
        <v>56</v>
      </c>
      <c r="N490" t="s">
        <v>34</v>
      </c>
      <c r="O490" t="s">
        <v>58</v>
      </c>
      <c r="P490" t="s">
        <v>66</v>
      </c>
      <c r="Q490">
        <v>158386089</v>
      </c>
      <c r="R490" t="s">
        <v>37</v>
      </c>
      <c r="S490" t="s">
        <v>38</v>
      </c>
      <c r="T490" t="s">
        <v>39</v>
      </c>
      <c r="U490" s="1">
        <v>45808</v>
      </c>
      <c r="W490" s="5">
        <f ca="1">+(TODAY()-Tabla2[[#This Row],[FECHA DE NACIMIENTO]])/360</f>
        <v>128.05833333333334</v>
      </c>
    </row>
    <row r="491" spans="1:23" x14ac:dyDescent="0.45">
      <c r="A491" t="s">
        <v>23</v>
      </c>
      <c r="B491" t="s">
        <v>125</v>
      </c>
      <c r="C491" t="s">
        <v>89</v>
      </c>
      <c r="E491" t="s">
        <v>2212</v>
      </c>
      <c r="F491" t="s">
        <v>2213</v>
      </c>
      <c r="G491" t="s">
        <v>28</v>
      </c>
      <c r="H491" t="s">
        <v>850</v>
      </c>
      <c r="I491" t="s">
        <v>2214</v>
      </c>
      <c r="J491" t="s">
        <v>31</v>
      </c>
      <c r="K491" t="s">
        <v>2215</v>
      </c>
      <c r="L491">
        <v>985593070</v>
      </c>
      <c r="M491" t="s">
        <v>33</v>
      </c>
      <c r="N491" t="s">
        <v>34</v>
      </c>
      <c r="O491" t="s">
        <v>35</v>
      </c>
      <c r="P491" t="s">
        <v>96</v>
      </c>
      <c r="Q491">
        <v>89237013</v>
      </c>
      <c r="R491" t="s">
        <v>37</v>
      </c>
      <c r="S491" t="s">
        <v>38</v>
      </c>
      <c r="T491" t="s">
        <v>74</v>
      </c>
      <c r="U491" s="1">
        <v>45688</v>
      </c>
      <c r="W491" s="5">
        <f ca="1">+(TODAY()-Tabla2[[#This Row],[FECHA DE NACIMIENTO]])/360</f>
        <v>128.05833333333334</v>
      </c>
    </row>
    <row r="492" spans="1:23" x14ac:dyDescent="0.45">
      <c r="A492" t="s">
        <v>23</v>
      </c>
      <c r="B492" t="s">
        <v>88</v>
      </c>
      <c r="C492" t="s">
        <v>89</v>
      </c>
      <c r="E492" t="s">
        <v>67</v>
      </c>
      <c r="F492" t="s">
        <v>68</v>
      </c>
      <c r="G492" t="s">
        <v>42</v>
      </c>
      <c r="H492" t="s">
        <v>69</v>
      </c>
      <c r="I492" t="s">
        <v>70</v>
      </c>
      <c r="J492" t="s">
        <v>71</v>
      </c>
      <c r="K492" t="s">
        <v>72</v>
      </c>
      <c r="L492">
        <v>930521299</v>
      </c>
      <c r="M492" t="s">
        <v>56</v>
      </c>
      <c r="N492" t="s">
        <v>34</v>
      </c>
      <c r="O492" t="s">
        <v>35</v>
      </c>
      <c r="P492" t="s">
        <v>73</v>
      </c>
      <c r="Q492">
        <v>4011761575</v>
      </c>
      <c r="R492" t="s">
        <v>37</v>
      </c>
      <c r="S492" t="s">
        <v>38</v>
      </c>
      <c r="T492" t="s">
        <v>39</v>
      </c>
      <c r="U492" s="1">
        <v>45961</v>
      </c>
      <c r="W492" s="5">
        <f ca="1">+(TODAY()-Tabla2[[#This Row],[FECHA DE NACIMIENTO]])/360</f>
        <v>128.05833333333334</v>
      </c>
    </row>
    <row r="493" spans="1:23" x14ac:dyDescent="0.45">
      <c r="A493" t="s">
        <v>23</v>
      </c>
      <c r="B493" t="s">
        <v>88</v>
      </c>
      <c r="C493" t="s">
        <v>89</v>
      </c>
      <c r="E493" t="s">
        <v>2216</v>
      </c>
      <c r="F493" t="s">
        <v>2217</v>
      </c>
      <c r="G493" t="s">
        <v>42</v>
      </c>
      <c r="H493" t="s">
        <v>2218</v>
      </c>
      <c r="I493" t="s">
        <v>2219</v>
      </c>
      <c r="J493" t="s">
        <v>229</v>
      </c>
      <c r="K493" t="s">
        <v>2220</v>
      </c>
      <c r="L493">
        <v>947328333</v>
      </c>
      <c r="M493" t="s">
        <v>33</v>
      </c>
      <c r="N493" t="s">
        <v>34</v>
      </c>
      <c r="O493" t="s">
        <v>35</v>
      </c>
      <c r="P493" t="s">
        <v>36</v>
      </c>
      <c r="Q493">
        <v>86727722</v>
      </c>
      <c r="R493" t="s">
        <v>37</v>
      </c>
      <c r="S493" t="s">
        <v>38</v>
      </c>
      <c r="T493" t="s">
        <v>39</v>
      </c>
      <c r="U493" s="1">
        <v>45808</v>
      </c>
      <c r="W493" s="5">
        <f ca="1">+(TODAY()-Tabla2[[#This Row],[FECHA DE NACIMIENTO]])/360</f>
        <v>128.05833333333334</v>
      </c>
    </row>
    <row r="494" spans="1:23" x14ac:dyDescent="0.45">
      <c r="A494" t="s">
        <v>23</v>
      </c>
      <c r="B494" t="s">
        <v>88</v>
      </c>
      <c r="C494" t="s">
        <v>89</v>
      </c>
      <c r="E494" t="s">
        <v>2221</v>
      </c>
      <c r="F494" t="s">
        <v>2222</v>
      </c>
      <c r="G494" t="s">
        <v>28</v>
      </c>
      <c r="H494" t="s">
        <v>239</v>
      </c>
      <c r="I494" t="s">
        <v>2223</v>
      </c>
      <c r="J494" t="s">
        <v>643</v>
      </c>
      <c r="K494" t="s">
        <v>2224</v>
      </c>
      <c r="L494">
        <v>935553360</v>
      </c>
      <c r="M494" t="s">
        <v>33</v>
      </c>
      <c r="N494" t="s">
        <v>2225</v>
      </c>
      <c r="O494" t="s">
        <v>58</v>
      </c>
      <c r="P494" t="s">
        <v>66</v>
      </c>
      <c r="Q494">
        <v>257737071</v>
      </c>
      <c r="R494" t="s">
        <v>37</v>
      </c>
      <c r="S494" t="s">
        <v>38</v>
      </c>
      <c r="T494" t="s">
        <v>39</v>
      </c>
      <c r="U494" s="1">
        <v>45961</v>
      </c>
      <c r="W494" s="5">
        <f ca="1">+(TODAY()-Tabla2[[#This Row],[FECHA DE NACIMIENTO]])/360</f>
        <v>128.05833333333334</v>
      </c>
    </row>
    <row r="495" spans="1:23" x14ac:dyDescent="0.45">
      <c r="A495" t="s">
        <v>23</v>
      </c>
      <c r="B495" t="s">
        <v>2164</v>
      </c>
      <c r="C495" t="s">
        <v>89</v>
      </c>
      <c r="E495" t="s">
        <v>2226</v>
      </c>
      <c r="F495" t="s">
        <v>2227</v>
      </c>
      <c r="G495" t="s">
        <v>28</v>
      </c>
      <c r="H495" t="s">
        <v>1126</v>
      </c>
      <c r="I495" t="s">
        <v>2228</v>
      </c>
      <c r="J495" t="s">
        <v>1429</v>
      </c>
      <c r="K495" t="s">
        <v>2229</v>
      </c>
      <c r="L495">
        <v>926375239</v>
      </c>
      <c r="M495" t="s">
        <v>33</v>
      </c>
      <c r="N495" t="s">
        <v>34</v>
      </c>
      <c r="O495" t="s">
        <v>58</v>
      </c>
      <c r="P495" t="s">
        <v>66</v>
      </c>
      <c r="Q495">
        <v>16158964</v>
      </c>
      <c r="R495" t="s">
        <v>37</v>
      </c>
      <c r="S495" t="s">
        <v>137</v>
      </c>
      <c r="T495" t="s">
        <v>74</v>
      </c>
      <c r="U495" s="1">
        <v>45808</v>
      </c>
      <c r="W495" s="5">
        <f ca="1">+(TODAY()-Tabla2[[#This Row],[FECHA DE NACIMIENTO]])/360</f>
        <v>128.05833333333334</v>
      </c>
    </row>
    <row r="496" spans="1:23" x14ac:dyDescent="0.45">
      <c r="A496" t="s">
        <v>23</v>
      </c>
      <c r="B496" t="s">
        <v>812</v>
      </c>
      <c r="C496" t="s">
        <v>89</v>
      </c>
      <c r="E496" t="s">
        <v>2230</v>
      </c>
      <c r="F496" t="s">
        <v>2231</v>
      </c>
      <c r="G496" t="s">
        <v>28</v>
      </c>
      <c r="I496" t="s">
        <v>2232</v>
      </c>
      <c r="J496" t="s">
        <v>278</v>
      </c>
      <c r="K496" t="s">
        <v>2233</v>
      </c>
      <c r="L496">
        <v>56951557805</v>
      </c>
      <c r="M496" t="s">
        <v>81</v>
      </c>
      <c r="N496" t="s">
        <v>34</v>
      </c>
      <c r="O496" t="s">
        <v>58</v>
      </c>
      <c r="P496" t="s">
        <v>36</v>
      </c>
      <c r="Q496">
        <v>7066604319</v>
      </c>
      <c r="R496" t="s">
        <v>37</v>
      </c>
      <c r="S496" t="s">
        <v>38</v>
      </c>
      <c r="T496" t="s">
        <v>39</v>
      </c>
      <c r="U496" s="1">
        <v>45777</v>
      </c>
      <c r="W496" s="5">
        <f ca="1">+(TODAY()-Tabla2[[#This Row],[FECHA DE NACIMIENTO]])/360</f>
        <v>128.05833333333334</v>
      </c>
    </row>
    <row r="497" spans="1:23" x14ac:dyDescent="0.45">
      <c r="A497" t="s">
        <v>23</v>
      </c>
      <c r="B497" t="s">
        <v>24</v>
      </c>
      <c r="C497" t="s">
        <v>25</v>
      </c>
      <c r="E497" t="s">
        <v>2234</v>
      </c>
      <c r="F497" t="s">
        <v>2235</v>
      </c>
      <c r="G497" t="s">
        <v>28</v>
      </c>
      <c r="H497" t="s">
        <v>69</v>
      </c>
      <c r="I497" t="s">
        <v>2236</v>
      </c>
      <c r="J497" t="s">
        <v>570</v>
      </c>
      <c r="K497" t="s">
        <v>2237</v>
      </c>
      <c r="L497">
        <v>930323416</v>
      </c>
      <c r="M497" t="s">
        <v>33</v>
      </c>
      <c r="N497" t="s">
        <v>34</v>
      </c>
      <c r="O497" t="s">
        <v>35</v>
      </c>
      <c r="P497" t="s">
        <v>130</v>
      </c>
      <c r="Q497">
        <v>991379242</v>
      </c>
      <c r="R497" t="s">
        <v>37</v>
      </c>
      <c r="S497" t="s">
        <v>137</v>
      </c>
      <c r="T497" t="s">
        <v>74</v>
      </c>
      <c r="U497" s="1">
        <v>45808</v>
      </c>
      <c r="W497" s="5">
        <f ca="1">+(TODAY()-Tabla2[[#This Row],[FECHA DE NACIMIENTO]])/360</f>
        <v>128.05833333333334</v>
      </c>
    </row>
    <row r="498" spans="1:23" x14ac:dyDescent="0.45">
      <c r="A498" t="s">
        <v>23</v>
      </c>
      <c r="B498" t="s">
        <v>125</v>
      </c>
      <c r="C498" t="s">
        <v>89</v>
      </c>
      <c r="E498" t="s">
        <v>2238</v>
      </c>
      <c r="F498" t="s">
        <v>2239</v>
      </c>
      <c r="G498" t="s">
        <v>42</v>
      </c>
      <c r="H498" t="s">
        <v>2240</v>
      </c>
      <c r="I498" t="s">
        <v>2241</v>
      </c>
      <c r="J498" t="s">
        <v>699</v>
      </c>
      <c r="K498" t="s">
        <v>2242</v>
      </c>
      <c r="L498">
        <v>977659650</v>
      </c>
      <c r="M498" t="s">
        <v>683</v>
      </c>
      <c r="N498" t="s">
        <v>34</v>
      </c>
      <c r="O498" t="s">
        <v>35</v>
      </c>
      <c r="P498" t="s">
        <v>82</v>
      </c>
      <c r="Q498">
        <v>15900042330</v>
      </c>
      <c r="R498" t="s">
        <v>37</v>
      </c>
      <c r="S498" t="s">
        <v>137</v>
      </c>
      <c r="T498" t="s">
        <v>74</v>
      </c>
      <c r="U498" s="1">
        <v>45777</v>
      </c>
      <c r="W498" s="5">
        <f ca="1">+(TODAY()-Tabla2[[#This Row],[FECHA DE NACIMIENTO]])/360</f>
        <v>128.05833333333334</v>
      </c>
    </row>
    <row r="499" spans="1:23" x14ac:dyDescent="0.45">
      <c r="A499" t="s">
        <v>23</v>
      </c>
      <c r="B499" t="s">
        <v>131</v>
      </c>
      <c r="C499" t="s">
        <v>89</v>
      </c>
      <c r="E499" t="s">
        <v>2243</v>
      </c>
      <c r="F499" t="s">
        <v>2244</v>
      </c>
      <c r="G499" t="s">
        <v>42</v>
      </c>
      <c r="H499" t="s">
        <v>2245</v>
      </c>
      <c r="I499" t="s">
        <v>2246</v>
      </c>
      <c r="J499" t="s">
        <v>259</v>
      </c>
      <c r="K499" t="s">
        <v>2247</v>
      </c>
      <c r="L499">
        <v>56923847850</v>
      </c>
      <c r="M499" t="s">
        <v>33</v>
      </c>
      <c r="N499" t="s">
        <v>57</v>
      </c>
      <c r="O499" t="s">
        <v>58</v>
      </c>
      <c r="P499" t="s">
        <v>66</v>
      </c>
      <c r="Q499">
        <v>26226999</v>
      </c>
      <c r="R499" t="s">
        <v>37</v>
      </c>
      <c r="S499" t="s">
        <v>38</v>
      </c>
      <c r="T499" t="s">
        <v>39</v>
      </c>
      <c r="U499" s="1">
        <v>45688</v>
      </c>
      <c r="W499" s="5">
        <f ca="1">+(TODAY()-Tabla2[[#This Row],[FECHA DE NACIMIENTO]])/360</f>
        <v>128.05833333333334</v>
      </c>
    </row>
    <row r="500" spans="1:23" x14ac:dyDescent="0.45">
      <c r="A500" t="s">
        <v>23</v>
      </c>
      <c r="B500" t="s">
        <v>88</v>
      </c>
      <c r="C500" t="s">
        <v>89</v>
      </c>
      <c r="E500" t="s">
        <v>75</v>
      </c>
      <c r="F500" t="s">
        <v>76</v>
      </c>
      <c r="G500" t="s">
        <v>28</v>
      </c>
      <c r="H500" t="s">
        <v>77</v>
      </c>
      <c r="I500" t="s">
        <v>78</v>
      </c>
      <c r="J500" t="s">
        <v>79</v>
      </c>
      <c r="K500" t="s">
        <v>80</v>
      </c>
      <c r="L500">
        <v>920863938</v>
      </c>
      <c r="M500" t="s">
        <v>81</v>
      </c>
      <c r="N500" t="s">
        <v>34</v>
      </c>
      <c r="O500" t="s">
        <v>35</v>
      </c>
      <c r="P500" t="s">
        <v>82</v>
      </c>
      <c r="Q500">
        <v>19995489015</v>
      </c>
      <c r="R500" t="s">
        <v>37</v>
      </c>
      <c r="S500" t="s">
        <v>123</v>
      </c>
      <c r="T500" t="s">
        <v>124</v>
      </c>
      <c r="U500" s="1">
        <v>45808</v>
      </c>
      <c r="W500" s="5">
        <f ca="1">+(TODAY()-Tabla2[[#This Row],[FECHA DE NACIMIENTO]])/360</f>
        <v>128.05833333333334</v>
      </c>
    </row>
    <row r="501" spans="1:23" x14ac:dyDescent="0.45">
      <c r="A501" t="s">
        <v>23</v>
      </c>
      <c r="B501" t="s">
        <v>88</v>
      </c>
      <c r="C501" t="s">
        <v>160</v>
      </c>
      <c r="E501" t="s">
        <v>2248</v>
      </c>
      <c r="F501" t="s">
        <v>2249</v>
      </c>
      <c r="G501" t="s">
        <v>42</v>
      </c>
      <c r="I501" t="s">
        <v>2250</v>
      </c>
      <c r="J501" t="s">
        <v>516</v>
      </c>
      <c r="K501" t="s">
        <v>2251</v>
      </c>
      <c r="L501">
        <v>962930052</v>
      </c>
      <c r="M501" t="s">
        <v>33</v>
      </c>
      <c r="N501" t="s">
        <v>34</v>
      </c>
      <c r="O501" t="s">
        <v>35</v>
      </c>
      <c r="P501" t="s">
        <v>66</v>
      </c>
      <c r="Q501">
        <v>32100003359</v>
      </c>
      <c r="R501" t="s">
        <v>37</v>
      </c>
      <c r="S501" t="s">
        <v>537</v>
      </c>
      <c r="T501" t="s">
        <v>39</v>
      </c>
      <c r="U501" s="1">
        <v>45961</v>
      </c>
      <c r="W501" s="5">
        <f ca="1">+(TODAY()-Tabla2[[#This Row],[FECHA DE NACIMIENTO]])/360</f>
        <v>128.05833333333334</v>
      </c>
    </row>
    <row r="502" spans="1:23" x14ac:dyDescent="0.45">
      <c r="A502" t="s">
        <v>23</v>
      </c>
      <c r="B502" t="s">
        <v>2159</v>
      </c>
      <c r="C502" t="s">
        <v>89</v>
      </c>
      <c r="E502" t="s">
        <v>2252</v>
      </c>
      <c r="F502" t="s">
        <v>2253</v>
      </c>
      <c r="G502" t="s">
        <v>28</v>
      </c>
      <c r="I502" t="s">
        <v>2254</v>
      </c>
      <c r="J502" t="s">
        <v>834</v>
      </c>
      <c r="K502" t="s">
        <v>2255</v>
      </c>
      <c r="L502">
        <v>941823816</v>
      </c>
      <c r="M502" t="s">
        <v>33</v>
      </c>
      <c r="N502" t="s">
        <v>34</v>
      </c>
      <c r="O502" t="s">
        <v>58</v>
      </c>
      <c r="P502" t="s">
        <v>66</v>
      </c>
      <c r="Q502">
        <v>19174719</v>
      </c>
      <c r="R502" t="s">
        <v>37</v>
      </c>
      <c r="S502" t="s">
        <v>38</v>
      </c>
      <c r="T502" t="s">
        <v>39</v>
      </c>
      <c r="U502" s="1">
        <v>45961</v>
      </c>
      <c r="W502" s="5">
        <f ca="1">+(TODAY()-Tabla2[[#This Row],[FECHA DE NACIMIENTO]])/360</f>
        <v>128.05833333333334</v>
      </c>
    </row>
    <row r="503" spans="1:23" x14ac:dyDescent="0.45">
      <c r="A503" t="s">
        <v>23</v>
      </c>
      <c r="B503" t="s">
        <v>88</v>
      </c>
      <c r="C503" t="s">
        <v>89</v>
      </c>
      <c r="E503" t="s">
        <v>2256</v>
      </c>
      <c r="F503" t="s">
        <v>2257</v>
      </c>
      <c r="G503" t="s">
        <v>42</v>
      </c>
      <c r="H503" t="s">
        <v>870</v>
      </c>
      <c r="I503" t="s">
        <v>2258</v>
      </c>
      <c r="J503" t="s">
        <v>316</v>
      </c>
      <c r="K503" t="s">
        <v>2259</v>
      </c>
      <c r="L503">
        <v>954406185</v>
      </c>
      <c r="M503" t="s">
        <v>33</v>
      </c>
      <c r="N503" t="s">
        <v>34</v>
      </c>
      <c r="O503" t="s">
        <v>35</v>
      </c>
      <c r="P503" t="s">
        <v>82</v>
      </c>
      <c r="Q503">
        <v>19830286188</v>
      </c>
      <c r="R503" t="s">
        <v>37</v>
      </c>
      <c r="S503" t="s">
        <v>38</v>
      </c>
      <c r="T503" t="s">
        <v>74</v>
      </c>
      <c r="U503" s="1">
        <v>45688</v>
      </c>
      <c r="W503" s="5">
        <f ca="1">+(TODAY()-Tabla2[[#This Row],[FECHA DE NACIMIENTO]])/360</f>
        <v>128.05833333333334</v>
      </c>
    </row>
    <row r="504" spans="1:23" x14ac:dyDescent="0.45">
      <c r="A504" t="s">
        <v>23</v>
      </c>
      <c r="B504" t="s">
        <v>88</v>
      </c>
      <c r="C504" t="s">
        <v>89</v>
      </c>
      <c r="E504" t="s">
        <v>97</v>
      </c>
      <c r="F504" t="s">
        <v>98</v>
      </c>
      <c r="G504" t="s">
        <v>42</v>
      </c>
      <c r="H504" t="s">
        <v>99</v>
      </c>
      <c r="I504" t="s">
        <v>100</v>
      </c>
      <c r="J504" t="s">
        <v>45</v>
      </c>
      <c r="K504" t="s">
        <v>101</v>
      </c>
      <c r="L504">
        <v>971409743</v>
      </c>
      <c r="M504" t="s">
        <v>33</v>
      </c>
      <c r="N504" t="s">
        <v>34</v>
      </c>
      <c r="O504" t="s">
        <v>58</v>
      </c>
      <c r="P504" t="s">
        <v>48</v>
      </c>
      <c r="Q504">
        <v>12122010</v>
      </c>
      <c r="R504" t="s">
        <v>37</v>
      </c>
      <c r="S504" t="s">
        <v>38</v>
      </c>
      <c r="T504" t="s">
        <v>39</v>
      </c>
      <c r="W504" s="5">
        <f ca="1">+(TODAY()-Tabla2[[#This Row],[FECHA DE NACIMIENTO]])/360</f>
        <v>128.05833333333334</v>
      </c>
    </row>
    <row r="505" spans="1:23" x14ac:dyDescent="0.45">
      <c r="A505" t="s">
        <v>23</v>
      </c>
      <c r="B505" t="s">
        <v>632</v>
      </c>
      <c r="C505" t="s">
        <v>89</v>
      </c>
      <c r="D505" s="1">
        <v>46093</v>
      </c>
      <c r="E505" t="s">
        <v>2260</v>
      </c>
      <c r="F505" t="s">
        <v>125</v>
      </c>
      <c r="G505" t="s">
        <v>28</v>
      </c>
      <c r="H505" t="s">
        <v>69</v>
      </c>
      <c r="I505" t="s">
        <v>2261</v>
      </c>
      <c r="J505" t="s">
        <v>692</v>
      </c>
      <c r="K505" t="s">
        <v>2262</v>
      </c>
      <c r="L505">
        <v>926304594</v>
      </c>
      <c r="M505" t="s">
        <v>33</v>
      </c>
      <c r="N505" t="s">
        <v>34</v>
      </c>
      <c r="O505" t="s">
        <v>58</v>
      </c>
      <c r="P505" t="s">
        <v>48</v>
      </c>
      <c r="Q505">
        <v>224221139</v>
      </c>
      <c r="R505" t="s">
        <v>37</v>
      </c>
      <c r="S505" t="s">
        <v>38</v>
      </c>
      <c r="T505" t="s">
        <v>39</v>
      </c>
      <c r="U505" s="1">
        <v>45808</v>
      </c>
      <c r="W505" s="5">
        <f ca="1">+(TODAY()-Tabla2[[#This Row],[FECHA DE NACIMIENTO]])/360</f>
        <v>128.05833333333334</v>
      </c>
    </row>
    <row r="506" spans="1:23" x14ac:dyDescent="0.45">
      <c r="A506" t="s">
        <v>23</v>
      </c>
      <c r="B506" t="s">
        <v>24</v>
      </c>
      <c r="C506" t="s">
        <v>25</v>
      </c>
      <c r="E506" t="s">
        <v>2263</v>
      </c>
      <c r="F506" t="s">
        <v>2264</v>
      </c>
      <c r="G506" t="s">
        <v>28</v>
      </c>
      <c r="H506" t="s">
        <v>2265</v>
      </c>
      <c r="I506" t="s">
        <v>2266</v>
      </c>
      <c r="J506" t="s">
        <v>94</v>
      </c>
      <c r="K506" t="s">
        <v>2267</v>
      </c>
      <c r="L506">
        <v>961221686</v>
      </c>
      <c r="M506" t="s">
        <v>56</v>
      </c>
      <c r="N506" t="s">
        <v>34</v>
      </c>
      <c r="O506" t="s">
        <v>35</v>
      </c>
      <c r="P506" t="s">
        <v>96</v>
      </c>
      <c r="Q506">
        <v>21869014</v>
      </c>
      <c r="R506" t="s">
        <v>37</v>
      </c>
      <c r="S506" t="s">
        <v>137</v>
      </c>
      <c r="T506" t="s">
        <v>74</v>
      </c>
      <c r="U506" s="1">
        <v>45808</v>
      </c>
      <c r="W506" s="5">
        <f ca="1">+(TODAY()-Tabla2[[#This Row],[FECHA DE NACIMIENTO]])/360</f>
        <v>128.05833333333334</v>
      </c>
    </row>
    <row r="507" spans="1:23" x14ac:dyDescent="0.45">
      <c r="A507" t="s">
        <v>23</v>
      </c>
      <c r="B507" t="s">
        <v>125</v>
      </c>
      <c r="C507" t="s">
        <v>89</v>
      </c>
      <c r="E507" t="s">
        <v>2268</v>
      </c>
      <c r="F507" t="s">
        <v>2269</v>
      </c>
      <c r="G507" t="s">
        <v>28</v>
      </c>
      <c r="H507" t="s">
        <v>2270</v>
      </c>
      <c r="I507" t="s">
        <v>2271</v>
      </c>
      <c r="J507" t="s">
        <v>375</v>
      </c>
      <c r="K507" t="s">
        <v>2272</v>
      </c>
      <c r="L507">
        <v>992825523</v>
      </c>
      <c r="M507" t="s">
        <v>56</v>
      </c>
      <c r="N507" t="s">
        <v>34</v>
      </c>
      <c r="O507" t="s">
        <v>35</v>
      </c>
      <c r="P507" t="s">
        <v>96</v>
      </c>
      <c r="Q507">
        <v>87018721</v>
      </c>
      <c r="R507" t="s">
        <v>37</v>
      </c>
      <c r="S507" t="s">
        <v>123</v>
      </c>
      <c r="T507" t="s">
        <v>124</v>
      </c>
      <c r="U507" s="1">
        <v>45808</v>
      </c>
      <c r="W507" s="5">
        <f ca="1">+(TODAY()-Tabla2[[#This Row],[FECHA DE NACIMIENTO]])/360</f>
        <v>128.05833333333334</v>
      </c>
    </row>
    <row r="508" spans="1:23" x14ac:dyDescent="0.45">
      <c r="A508" t="s">
        <v>23</v>
      </c>
      <c r="B508" t="s">
        <v>88</v>
      </c>
      <c r="C508" t="s">
        <v>160</v>
      </c>
      <c r="E508" t="s">
        <v>2273</v>
      </c>
      <c r="F508" t="s">
        <v>2274</v>
      </c>
      <c r="G508" t="s">
        <v>42</v>
      </c>
      <c r="H508" t="s">
        <v>2275</v>
      </c>
      <c r="I508" t="s">
        <v>2276</v>
      </c>
      <c r="J508" t="s">
        <v>71</v>
      </c>
      <c r="K508" t="s">
        <v>2277</v>
      </c>
      <c r="L508">
        <v>950109817</v>
      </c>
      <c r="M508" t="s">
        <v>33</v>
      </c>
      <c r="N508" t="s">
        <v>34</v>
      </c>
      <c r="O508" t="s">
        <v>58</v>
      </c>
      <c r="P508" t="s">
        <v>66</v>
      </c>
      <c r="Q508">
        <v>104719341</v>
      </c>
      <c r="R508" t="s">
        <v>37</v>
      </c>
      <c r="S508" t="s">
        <v>38</v>
      </c>
      <c r="T508" t="s">
        <v>39</v>
      </c>
      <c r="W508" s="5">
        <f ca="1">+(TODAY()-Tabla2[[#This Row],[FECHA DE NACIMIENTO]])/360</f>
        <v>128.05833333333334</v>
      </c>
    </row>
    <row r="509" spans="1:23" x14ac:dyDescent="0.45">
      <c r="A509" t="s">
        <v>23</v>
      </c>
      <c r="B509" t="s">
        <v>125</v>
      </c>
      <c r="C509" t="s">
        <v>89</v>
      </c>
      <c r="E509" t="s">
        <v>2278</v>
      </c>
      <c r="F509" t="s">
        <v>2279</v>
      </c>
      <c r="G509" t="s">
        <v>28</v>
      </c>
      <c r="H509" t="s">
        <v>69</v>
      </c>
      <c r="I509" t="s">
        <v>2280</v>
      </c>
      <c r="J509" t="s">
        <v>94</v>
      </c>
      <c r="K509" t="s">
        <v>2281</v>
      </c>
      <c r="L509">
        <v>990348648</v>
      </c>
      <c r="M509" t="s">
        <v>81</v>
      </c>
      <c r="N509" t="s">
        <v>34</v>
      </c>
      <c r="O509" t="s">
        <v>58</v>
      </c>
      <c r="P509" t="s">
        <v>48</v>
      </c>
      <c r="Q509">
        <v>194192615398</v>
      </c>
      <c r="R509" t="s">
        <v>37</v>
      </c>
      <c r="S509" t="s">
        <v>38</v>
      </c>
      <c r="T509" t="s">
        <v>39</v>
      </c>
      <c r="W509" s="5">
        <f ca="1">+(TODAY()-Tabla2[[#This Row],[FECHA DE NACIMIENTO]])/360</f>
        <v>128.05833333333334</v>
      </c>
    </row>
    <row r="510" spans="1:23" x14ac:dyDescent="0.45">
      <c r="A510" t="s">
        <v>23</v>
      </c>
      <c r="B510" t="s">
        <v>659</v>
      </c>
      <c r="C510" t="s">
        <v>89</v>
      </c>
      <c r="D510" s="1">
        <v>46027</v>
      </c>
      <c r="E510" t="s">
        <v>2282</v>
      </c>
      <c r="F510" t="s">
        <v>2283</v>
      </c>
      <c r="G510" t="s">
        <v>28</v>
      </c>
      <c r="H510" t="s">
        <v>957</v>
      </c>
      <c r="I510" t="s">
        <v>2284</v>
      </c>
      <c r="J510" t="s">
        <v>204</v>
      </c>
      <c r="K510" t="s">
        <v>2285</v>
      </c>
      <c r="L510">
        <v>996589579</v>
      </c>
      <c r="M510" t="s">
        <v>683</v>
      </c>
      <c r="N510" t="s">
        <v>34</v>
      </c>
      <c r="O510" t="s">
        <v>35</v>
      </c>
      <c r="P510" t="s">
        <v>36</v>
      </c>
      <c r="Q510">
        <v>88383427</v>
      </c>
      <c r="R510" t="s">
        <v>60</v>
      </c>
      <c r="W510" s="5">
        <f ca="1">+(TODAY()-Tabla2[[#This Row],[FECHA DE NACIMIENTO]])/360</f>
        <v>128.05833333333334</v>
      </c>
    </row>
    <row r="511" spans="1:23" x14ac:dyDescent="0.45">
      <c r="A511" t="s">
        <v>645</v>
      </c>
      <c r="B511" t="s">
        <v>666</v>
      </c>
      <c r="C511" t="s">
        <v>89</v>
      </c>
      <c r="D511" s="1">
        <v>46027</v>
      </c>
      <c r="E511" t="s">
        <v>2286</v>
      </c>
      <c r="F511" t="s">
        <v>2287</v>
      </c>
      <c r="G511" t="s">
        <v>28</v>
      </c>
      <c r="H511" t="s">
        <v>69</v>
      </c>
      <c r="I511" t="s">
        <v>2288</v>
      </c>
      <c r="J511" t="s">
        <v>142</v>
      </c>
      <c r="K511" t="s">
        <v>2289</v>
      </c>
      <c r="L511">
        <v>982113155</v>
      </c>
      <c r="M511" t="s">
        <v>56</v>
      </c>
      <c r="N511" t="s">
        <v>34</v>
      </c>
      <c r="O511" t="s">
        <v>58</v>
      </c>
      <c r="P511" t="s">
        <v>66</v>
      </c>
      <c r="Q511">
        <v>181431849</v>
      </c>
      <c r="R511" t="s">
        <v>37</v>
      </c>
      <c r="W511" s="5">
        <f ca="1">+(TODAY()-Tabla2[[#This Row],[FECHA DE NACIMIENTO]])/360</f>
        <v>128.05833333333334</v>
      </c>
    </row>
    <row r="512" spans="1:23" x14ac:dyDescent="0.45">
      <c r="A512" t="s">
        <v>23</v>
      </c>
      <c r="B512" t="s">
        <v>646</v>
      </c>
      <c r="C512" t="s">
        <v>89</v>
      </c>
      <c r="D512" s="1">
        <v>46027</v>
      </c>
      <c r="E512" t="s">
        <v>2290</v>
      </c>
      <c r="F512" t="s">
        <v>2291</v>
      </c>
      <c r="G512" t="s">
        <v>42</v>
      </c>
      <c r="H512" t="s">
        <v>2292</v>
      </c>
      <c r="I512" t="s">
        <v>2293</v>
      </c>
      <c r="J512" t="s">
        <v>2294</v>
      </c>
      <c r="K512" t="s">
        <v>2295</v>
      </c>
      <c r="L512">
        <v>932343251</v>
      </c>
      <c r="M512" t="s">
        <v>33</v>
      </c>
      <c r="N512" t="s">
        <v>34</v>
      </c>
      <c r="O512" t="s">
        <v>58</v>
      </c>
      <c r="P512" t="s">
        <v>66</v>
      </c>
      <c r="Q512">
        <v>16265618</v>
      </c>
      <c r="R512" t="s">
        <v>37</v>
      </c>
      <c r="W512" s="5">
        <f ca="1">+(TODAY()-Tabla2[[#This Row],[FECHA DE NACIMIENTO]])/360</f>
        <v>128.05833333333334</v>
      </c>
    </row>
    <row r="513" spans="1:23" x14ac:dyDescent="0.45">
      <c r="A513" t="s">
        <v>645</v>
      </c>
      <c r="B513" t="s">
        <v>2018</v>
      </c>
      <c r="C513" t="s">
        <v>89</v>
      </c>
      <c r="D513" s="1">
        <v>46027</v>
      </c>
      <c r="E513" t="s">
        <v>2296</v>
      </c>
      <c r="F513" t="s">
        <v>2297</v>
      </c>
      <c r="G513" t="s">
        <v>28</v>
      </c>
      <c r="H513" t="s">
        <v>804</v>
      </c>
      <c r="I513" t="s">
        <v>2298</v>
      </c>
      <c r="J513" t="s">
        <v>204</v>
      </c>
      <c r="K513" t="s">
        <v>2299</v>
      </c>
      <c r="L513">
        <v>56953476475</v>
      </c>
      <c r="M513" t="s">
        <v>33</v>
      </c>
      <c r="N513" t="s">
        <v>34</v>
      </c>
      <c r="O513" t="s">
        <v>35</v>
      </c>
      <c r="P513" t="s">
        <v>96</v>
      </c>
      <c r="Q513">
        <v>50111621</v>
      </c>
      <c r="R513" t="s">
        <v>37</v>
      </c>
      <c r="W513" s="5">
        <f ca="1">+(TODAY()-Tabla2[[#This Row],[FECHA DE NACIMIENTO]])/360</f>
        <v>128.05833333333334</v>
      </c>
    </row>
    <row r="514" spans="1:23" x14ac:dyDescent="0.45">
      <c r="A514" t="s">
        <v>23</v>
      </c>
      <c r="B514" t="s">
        <v>659</v>
      </c>
      <c r="C514" t="s">
        <v>89</v>
      </c>
      <c r="D514" s="1">
        <v>46077</v>
      </c>
      <c r="E514" t="s">
        <v>2300</v>
      </c>
      <c r="F514" t="s">
        <v>2301</v>
      </c>
      <c r="G514" t="s">
        <v>28</v>
      </c>
      <c r="H514" t="s">
        <v>163</v>
      </c>
      <c r="I514" t="s">
        <v>2302</v>
      </c>
      <c r="J514" t="s">
        <v>393</v>
      </c>
      <c r="K514" t="s">
        <v>2303</v>
      </c>
      <c r="L514">
        <v>950944954</v>
      </c>
      <c r="M514" t="s">
        <v>56</v>
      </c>
      <c r="N514" t="s">
        <v>34</v>
      </c>
      <c r="O514" t="s">
        <v>58</v>
      </c>
      <c r="P514" t="s">
        <v>73</v>
      </c>
      <c r="Q514">
        <v>4043926857</v>
      </c>
      <c r="R514" t="s">
        <v>60</v>
      </c>
      <c r="S514" t="s">
        <v>38</v>
      </c>
      <c r="T514" t="s">
        <v>39</v>
      </c>
      <c r="W514" s="5">
        <f ca="1">+(TODAY()-Tabla2[[#This Row],[FECHA DE NACIMIENTO]])/360</f>
        <v>128.05833333333334</v>
      </c>
    </row>
    <row r="515" spans="1:23" x14ac:dyDescent="0.45">
      <c r="A515" t="s">
        <v>645</v>
      </c>
      <c r="B515" t="s">
        <v>666</v>
      </c>
      <c r="C515" t="s">
        <v>89</v>
      </c>
      <c r="D515" s="1">
        <v>46027</v>
      </c>
      <c r="E515" t="s">
        <v>2304</v>
      </c>
      <c r="F515" t="s">
        <v>2305</v>
      </c>
      <c r="G515" t="s">
        <v>28</v>
      </c>
      <c r="H515" t="s">
        <v>957</v>
      </c>
      <c r="I515" t="s">
        <v>2306</v>
      </c>
      <c r="J515" t="s">
        <v>142</v>
      </c>
      <c r="K515" t="s">
        <v>2307</v>
      </c>
      <c r="L515">
        <v>937193909</v>
      </c>
      <c r="M515" t="s">
        <v>33</v>
      </c>
      <c r="N515" t="s">
        <v>34</v>
      </c>
      <c r="O515" t="s">
        <v>58</v>
      </c>
      <c r="P515" t="s">
        <v>66</v>
      </c>
      <c r="Q515">
        <v>202276342</v>
      </c>
      <c r="R515" t="s">
        <v>37</v>
      </c>
      <c r="W515" s="5">
        <f ca="1">+(TODAY()-Tabla2[[#This Row],[FECHA DE NACIMIENTO]])/360</f>
        <v>128.05833333333334</v>
      </c>
    </row>
    <row r="516" spans="1:23" x14ac:dyDescent="0.45">
      <c r="A516" t="s">
        <v>645</v>
      </c>
      <c r="B516" t="s">
        <v>2018</v>
      </c>
      <c r="C516" t="s">
        <v>89</v>
      </c>
      <c r="D516" s="1">
        <v>46027</v>
      </c>
      <c r="E516" t="s">
        <v>2308</v>
      </c>
      <c r="F516" t="s">
        <v>2309</v>
      </c>
      <c r="G516" t="s">
        <v>28</v>
      </c>
      <c r="H516" t="s">
        <v>1427</v>
      </c>
      <c r="I516" t="s">
        <v>2310</v>
      </c>
      <c r="J516" t="s">
        <v>142</v>
      </c>
      <c r="K516" t="s">
        <v>2311</v>
      </c>
      <c r="L516">
        <v>935259798</v>
      </c>
      <c r="M516" t="s">
        <v>33</v>
      </c>
      <c r="N516" t="s">
        <v>34</v>
      </c>
      <c r="O516" t="s">
        <v>58</v>
      </c>
      <c r="P516" t="s">
        <v>2312</v>
      </c>
      <c r="Q516">
        <v>15786964</v>
      </c>
      <c r="R516" t="s">
        <v>37</v>
      </c>
      <c r="W516" s="5">
        <f ca="1">+(TODAY()-Tabla2[[#This Row],[FECHA DE NACIMIENTO]])/360</f>
        <v>128.05833333333334</v>
      </c>
    </row>
    <row r="517" spans="1:23" x14ac:dyDescent="0.45">
      <c r="A517" t="s">
        <v>23</v>
      </c>
      <c r="B517" t="s">
        <v>646</v>
      </c>
      <c r="C517" t="s">
        <v>89</v>
      </c>
      <c r="D517" s="1">
        <v>46027</v>
      </c>
      <c r="E517" t="s">
        <v>2313</v>
      </c>
      <c r="F517" t="s">
        <v>2314</v>
      </c>
      <c r="G517" t="s">
        <v>42</v>
      </c>
      <c r="H517" t="s">
        <v>2315</v>
      </c>
      <c r="I517" t="s">
        <v>2316</v>
      </c>
      <c r="J517" t="s">
        <v>142</v>
      </c>
      <c r="K517" t="s">
        <v>2317</v>
      </c>
      <c r="L517">
        <v>959722116</v>
      </c>
      <c r="M517" t="s">
        <v>81</v>
      </c>
      <c r="N517" t="s">
        <v>34</v>
      </c>
      <c r="O517" t="s">
        <v>58</v>
      </c>
      <c r="P517" t="s">
        <v>66</v>
      </c>
      <c r="Q517">
        <v>154772480</v>
      </c>
      <c r="R517" t="s">
        <v>37</v>
      </c>
      <c r="W517" s="5">
        <f ca="1">+(TODAY()-Tabla2[[#This Row],[FECHA DE NACIMIENTO]])/360</f>
        <v>128.05833333333334</v>
      </c>
    </row>
    <row r="518" spans="1:23" x14ac:dyDescent="0.45">
      <c r="A518" t="s">
        <v>23</v>
      </c>
      <c r="B518" t="s">
        <v>646</v>
      </c>
      <c r="C518" t="s">
        <v>89</v>
      </c>
      <c r="D518" s="1">
        <v>46027</v>
      </c>
      <c r="E518" t="s">
        <v>2318</v>
      </c>
      <c r="F518" t="s">
        <v>2319</v>
      </c>
      <c r="G518" t="s">
        <v>42</v>
      </c>
      <c r="H518" t="s">
        <v>2320</v>
      </c>
      <c r="I518" t="s">
        <v>2321</v>
      </c>
      <c r="J518" t="s">
        <v>142</v>
      </c>
      <c r="K518" t="s">
        <v>2322</v>
      </c>
      <c r="L518">
        <v>975893223</v>
      </c>
      <c r="M518" t="s">
        <v>33</v>
      </c>
      <c r="N518" t="s">
        <v>34</v>
      </c>
      <c r="O518" t="s">
        <v>35</v>
      </c>
      <c r="P518" t="s">
        <v>531</v>
      </c>
      <c r="Q518">
        <v>77813950</v>
      </c>
      <c r="R518" t="s">
        <v>37</v>
      </c>
      <c r="W518" s="5">
        <f ca="1">+(TODAY()-Tabla2[[#This Row],[FECHA DE NACIMIENTO]])/360</f>
        <v>128.05833333333334</v>
      </c>
    </row>
    <row r="519" spans="1:23" x14ac:dyDescent="0.45">
      <c r="A519" t="s">
        <v>645</v>
      </c>
      <c r="B519" t="s">
        <v>2018</v>
      </c>
      <c r="C519" t="s">
        <v>89</v>
      </c>
      <c r="D519" s="1">
        <v>46027</v>
      </c>
      <c r="E519" t="s">
        <v>2323</v>
      </c>
      <c r="F519" t="s">
        <v>2324</v>
      </c>
      <c r="G519" t="s">
        <v>42</v>
      </c>
      <c r="H519" t="s">
        <v>2240</v>
      </c>
      <c r="I519" t="s">
        <v>2325</v>
      </c>
      <c r="J519" t="s">
        <v>643</v>
      </c>
      <c r="K519" t="s">
        <v>2326</v>
      </c>
      <c r="L519">
        <v>982912248</v>
      </c>
      <c r="M519" t="s">
        <v>33</v>
      </c>
      <c r="N519" t="s">
        <v>34</v>
      </c>
      <c r="O519" t="s">
        <v>58</v>
      </c>
      <c r="P519" t="s">
        <v>2327</v>
      </c>
      <c r="Q519">
        <v>184229528</v>
      </c>
      <c r="R519" t="s">
        <v>37</v>
      </c>
      <c r="W519" s="5">
        <f ca="1">+(TODAY()-Tabla2[[#This Row],[FECHA DE NACIMIENTO]])/360</f>
        <v>128.05833333333334</v>
      </c>
    </row>
    <row r="520" spans="1:23" x14ac:dyDescent="0.45">
      <c r="A520" t="s">
        <v>23</v>
      </c>
      <c r="B520" t="s">
        <v>388</v>
      </c>
      <c r="C520" t="s">
        <v>89</v>
      </c>
      <c r="D520" s="1">
        <v>46036</v>
      </c>
      <c r="E520" t="s">
        <v>2328</v>
      </c>
      <c r="F520" t="s">
        <v>2329</v>
      </c>
      <c r="G520" t="s">
        <v>42</v>
      </c>
      <c r="H520" t="s">
        <v>662</v>
      </c>
      <c r="I520" t="s">
        <v>2330</v>
      </c>
      <c r="J520" t="s">
        <v>436</v>
      </c>
      <c r="K520" t="s">
        <v>2331</v>
      </c>
      <c r="L520">
        <v>997824363</v>
      </c>
      <c r="M520" t="s">
        <v>658</v>
      </c>
      <c r="N520" t="s">
        <v>34</v>
      </c>
      <c r="O520" t="s">
        <v>58</v>
      </c>
      <c r="P520" t="s">
        <v>17</v>
      </c>
      <c r="Q520">
        <v>15377950</v>
      </c>
      <c r="R520" t="s">
        <v>37</v>
      </c>
      <c r="W520" s="5">
        <f ca="1">+(TODAY()-Tabla2[[#This Row],[FECHA DE NACIMIENTO]])/360</f>
        <v>128.05833333333334</v>
      </c>
    </row>
    <row r="521" spans="1:23" x14ac:dyDescent="0.45">
      <c r="A521" t="s">
        <v>23</v>
      </c>
      <c r="B521" t="s">
        <v>646</v>
      </c>
      <c r="C521" t="s">
        <v>89</v>
      </c>
      <c r="D521" s="1">
        <v>46036</v>
      </c>
      <c r="E521" t="s">
        <v>2332</v>
      </c>
      <c r="F521" t="s">
        <v>2333</v>
      </c>
      <c r="G521" t="s">
        <v>42</v>
      </c>
      <c r="H521" t="s">
        <v>2334</v>
      </c>
      <c r="I521" t="s">
        <v>2335</v>
      </c>
      <c r="J521" t="s">
        <v>643</v>
      </c>
      <c r="K521" t="s">
        <v>2336</v>
      </c>
      <c r="L521">
        <v>958561060</v>
      </c>
      <c r="M521" t="s">
        <v>683</v>
      </c>
      <c r="N521" t="s">
        <v>34</v>
      </c>
      <c r="O521" t="s">
        <v>58</v>
      </c>
      <c r="P521" t="s">
        <v>17</v>
      </c>
      <c r="Q521">
        <v>102378385</v>
      </c>
      <c r="R521" t="s">
        <v>37</v>
      </c>
      <c r="W521" s="5">
        <f ca="1">+(TODAY()-Tabla2[[#This Row],[FECHA DE NACIMIENTO]])/360</f>
        <v>128.05833333333334</v>
      </c>
    </row>
    <row r="522" spans="1:23" x14ac:dyDescent="0.45">
      <c r="A522" t="s">
        <v>645</v>
      </c>
      <c r="B522" t="s">
        <v>694</v>
      </c>
      <c r="C522" t="s">
        <v>89</v>
      </c>
      <c r="D522" s="1">
        <v>46036</v>
      </c>
      <c r="E522" t="s">
        <v>2337</v>
      </c>
      <c r="F522" t="s">
        <v>2338</v>
      </c>
      <c r="G522" t="s">
        <v>28</v>
      </c>
      <c r="H522" t="s">
        <v>69</v>
      </c>
      <c r="I522" t="s">
        <v>2339</v>
      </c>
      <c r="J522" t="s">
        <v>158</v>
      </c>
      <c r="K522" t="s">
        <v>2340</v>
      </c>
      <c r="L522">
        <v>926426621</v>
      </c>
      <c r="M522" t="s">
        <v>33</v>
      </c>
      <c r="N522" t="s">
        <v>57</v>
      </c>
      <c r="O522" t="s">
        <v>58</v>
      </c>
      <c r="P522" t="s">
        <v>48</v>
      </c>
      <c r="Q522">
        <v>345025314</v>
      </c>
      <c r="R522" t="s">
        <v>37</v>
      </c>
      <c r="W522" s="5">
        <f ca="1">+(TODAY()-Tabla2[[#This Row],[FECHA DE NACIMIENTO]])/360</f>
        <v>128.05833333333334</v>
      </c>
    </row>
    <row r="523" spans="1:23" x14ac:dyDescent="0.45">
      <c r="A523" t="s">
        <v>23</v>
      </c>
      <c r="B523" t="s">
        <v>131</v>
      </c>
      <c r="C523" t="s">
        <v>89</v>
      </c>
      <c r="D523" s="1">
        <v>46036</v>
      </c>
      <c r="E523" t="s">
        <v>2341</v>
      </c>
      <c r="F523" t="s">
        <v>2342</v>
      </c>
      <c r="G523" t="s">
        <v>42</v>
      </c>
      <c r="H523" t="s">
        <v>2343</v>
      </c>
      <c r="I523" t="s">
        <v>2344</v>
      </c>
      <c r="J523" t="s">
        <v>323</v>
      </c>
      <c r="K523" t="s">
        <v>2345</v>
      </c>
      <c r="L523">
        <v>972009895</v>
      </c>
      <c r="M523" t="s">
        <v>56</v>
      </c>
      <c r="N523" t="s">
        <v>34</v>
      </c>
      <c r="O523" t="s">
        <v>58</v>
      </c>
      <c r="P523" t="s">
        <v>96</v>
      </c>
      <c r="Q523">
        <v>41694040</v>
      </c>
      <c r="R523" t="s">
        <v>37</v>
      </c>
      <c r="S523" t="s">
        <v>38</v>
      </c>
      <c r="T523" t="s">
        <v>39</v>
      </c>
      <c r="U523" s="1">
        <v>46070</v>
      </c>
      <c r="W523" s="5">
        <f ca="1">+(TODAY()-Tabla2[[#This Row],[FECHA DE NACIMIENTO]])/360</f>
        <v>128.05833333333334</v>
      </c>
    </row>
    <row r="524" spans="1:23" x14ac:dyDescent="0.45">
      <c r="A524" t="s">
        <v>23</v>
      </c>
      <c r="B524" t="s">
        <v>388</v>
      </c>
      <c r="C524" t="s">
        <v>89</v>
      </c>
      <c r="D524" s="1">
        <v>46036</v>
      </c>
      <c r="E524" t="s">
        <v>2346</v>
      </c>
      <c r="F524" t="s">
        <v>2347</v>
      </c>
      <c r="G524" t="s">
        <v>42</v>
      </c>
      <c r="H524" t="s">
        <v>957</v>
      </c>
      <c r="I524" t="s">
        <v>2348</v>
      </c>
      <c r="J524" t="s">
        <v>393</v>
      </c>
      <c r="K524" t="s">
        <v>2349</v>
      </c>
      <c r="L524">
        <v>986181656</v>
      </c>
      <c r="M524" t="s">
        <v>56</v>
      </c>
      <c r="N524" t="s">
        <v>34</v>
      </c>
      <c r="O524" t="s">
        <v>58</v>
      </c>
      <c r="P524" t="s">
        <v>96</v>
      </c>
      <c r="Q524">
        <v>67770282</v>
      </c>
      <c r="R524" t="s">
        <v>37</v>
      </c>
      <c r="W524" s="5">
        <f ca="1">+(TODAY()-Tabla2[[#This Row],[FECHA DE NACIMIENTO]])/360</f>
        <v>128.05833333333334</v>
      </c>
    </row>
    <row r="525" spans="1:23" x14ac:dyDescent="0.45">
      <c r="A525" t="s">
        <v>23</v>
      </c>
      <c r="B525" t="s">
        <v>632</v>
      </c>
      <c r="C525" t="s">
        <v>633</v>
      </c>
      <c r="D525" s="1">
        <v>46077</v>
      </c>
      <c r="E525" t="s">
        <v>2350</v>
      </c>
      <c r="F525" t="s">
        <v>2351</v>
      </c>
      <c r="G525" t="s">
        <v>28</v>
      </c>
      <c r="H525" t="s">
        <v>163</v>
      </c>
      <c r="I525" t="s">
        <v>2352</v>
      </c>
      <c r="J525" t="s">
        <v>2353</v>
      </c>
      <c r="K525" t="s">
        <v>2354</v>
      </c>
      <c r="L525">
        <v>952194059</v>
      </c>
      <c r="M525" t="s">
        <v>56</v>
      </c>
      <c r="N525" t="s">
        <v>34</v>
      </c>
      <c r="O525" t="s">
        <v>35</v>
      </c>
      <c r="P525" t="s">
        <v>1942</v>
      </c>
      <c r="Q525">
        <v>1984050413</v>
      </c>
      <c r="R525" t="s">
        <v>60</v>
      </c>
      <c r="S525" t="s">
        <v>38</v>
      </c>
      <c r="T525" t="s">
        <v>39</v>
      </c>
      <c r="W525" s="5">
        <f ca="1">+(TODAY()-Tabla2[[#This Row],[FECHA DE NACIMIENTO]])/360</f>
        <v>128.05833333333334</v>
      </c>
    </row>
    <row r="526" spans="1:23" x14ac:dyDescent="0.45">
      <c r="A526" t="s">
        <v>23</v>
      </c>
      <c r="B526" t="s">
        <v>388</v>
      </c>
      <c r="C526" t="s">
        <v>89</v>
      </c>
      <c r="D526" s="1">
        <v>46036</v>
      </c>
      <c r="E526" t="s">
        <v>2355</v>
      </c>
      <c r="F526" t="s">
        <v>2356</v>
      </c>
      <c r="G526" t="s">
        <v>42</v>
      </c>
      <c r="H526" t="s">
        <v>2357</v>
      </c>
      <c r="I526" t="s">
        <v>2358</v>
      </c>
      <c r="J526" t="s">
        <v>31</v>
      </c>
      <c r="K526" t="s">
        <v>2359</v>
      </c>
      <c r="L526">
        <v>989248628</v>
      </c>
      <c r="M526" t="s">
        <v>33</v>
      </c>
      <c r="N526" t="s">
        <v>34</v>
      </c>
      <c r="O526" t="s">
        <v>58</v>
      </c>
      <c r="P526" t="s">
        <v>17</v>
      </c>
      <c r="Q526">
        <v>17488049</v>
      </c>
      <c r="R526" t="s">
        <v>37</v>
      </c>
      <c r="W526" s="5">
        <f ca="1">+(TODAY()-Tabla2[[#This Row],[FECHA DE NACIMIENTO]])/360</f>
        <v>128.05833333333334</v>
      </c>
    </row>
    <row r="527" spans="1:23" x14ac:dyDescent="0.45">
      <c r="A527" t="s">
        <v>645</v>
      </c>
      <c r="B527" t="s">
        <v>666</v>
      </c>
      <c r="C527" t="s">
        <v>89</v>
      </c>
      <c r="D527" s="1">
        <v>46036</v>
      </c>
      <c r="E527" t="s">
        <v>2360</v>
      </c>
      <c r="F527" t="s">
        <v>2361</v>
      </c>
      <c r="G527" t="s">
        <v>42</v>
      </c>
      <c r="H527" t="s">
        <v>957</v>
      </c>
      <c r="I527" t="s">
        <v>2362</v>
      </c>
      <c r="J527" t="s">
        <v>375</v>
      </c>
      <c r="K527" t="s">
        <v>2363</v>
      </c>
      <c r="L527">
        <v>934913467</v>
      </c>
      <c r="M527" t="s">
        <v>56</v>
      </c>
      <c r="N527" t="s">
        <v>34</v>
      </c>
      <c r="O527" t="s">
        <v>58</v>
      </c>
      <c r="P527" t="s">
        <v>17</v>
      </c>
      <c r="Q527">
        <v>128715622</v>
      </c>
      <c r="R527" t="s">
        <v>37</v>
      </c>
      <c r="W527" s="5">
        <f ca="1">+(TODAY()-Tabla2[[#This Row],[FECHA DE NACIMIENTO]])/360</f>
        <v>128.05833333333334</v>
      </c>
    </row>
    <row r="528" spans="1:23" x14ac:dyDescent="0.45">
      <c r="A528" t="s">
        <v>645</v>
      </c>
      <c r="B528" t="s">
        <v>666</v>
      </c>
      <c r="C528" t="s">
        <v>89</v>
      </c>
      <c r="D528" s="1">
        <v>46036</v>
      </c>
      <c r="E528" t="s">
        <v>2364</v>
      </c>
      <c r="F528" t="s">
        <v>2365</v>
      </c>
      <c r="G528" t="s">
        <v>42</v>
      </c>
      <c r="H528" t="s">
        <v>239</v>
      </c>
      <c r="I528" t="s">
        <v>2366</v>
      </c>
      <c r="J528" t="s">
        <v>643</v>
      </c>
      <c r="K528" t="s">
        <v>2367</v>
      </c>
      <c r="L528">
        <v>923916788</v>
      </c>
      <c r="M528" t="s">
        <v>33</v>
      </c>
      <c r="N528" t="s">
        <v>536</v>
      </c>
      <c r="O528" t="s">
        <v>35</v>
      </c>
      <c r="P528" t="s">
        <v>1942</v>
      </c>
      <c r="Q528">
        <v>19993396173</v>
      </c>
      <c r="R528" t="s">
        <v>37</v>
      </c>
      <c r="W528" s="5">
        <f ca="1">+(TODAY()-Tabla2[[#This Row],[FECHA DE NACIMIENTO]])/360</f>
        <v>128.05833333333334</v>
      </c>
    </row>
    <row r="529" spans="1:23" x14ac:dyDescent="0.45">
      <c r="A529" t="s">
        <v>645</v>
      </c>
      <c r="B529" t="s">
        <v>2018</v>
      </c>
      <c r="C529" t="s">
        <v>89</v>
      </c>
      <c r="D529" s="1">
        <v>46036</v>
      </c>
      <c r="E529" t="s">
        <v>2368</v>
      </c>
      <c r="F529" t="s">
        <v>2369</v>
      </c>
      <c r="G529" t="s">
        <v>28</v>
      </c>
      <c r="H529" t="s">
        <v>2370</v>
      </c>
      <c r="I529" t="s">
        <v>2371</v>
      </c>
      <c r="J529" t="s">
        <v>643</v>
      </c>
      <c r="K529" t="s">
        <v>2372</v>
      </c>
      <c r="L529">
        <v>56959072218</v>
      </c>
      <c r="M529" t="s">
        <v>33</v>
      </c>
      <c r="N529" t="s">
        <v>34</v>
      </c>
      <c r="O529" t="s">
        <v>58</v>
      </c>
      <c r="P529" t="s">
        <v>17</v>
      </c>
      <c r="Q529">
        <v>17073362</v>
      </c>
      <c r="R529" t="s">
        <v>37</v>
      </c>
      <c r="S529" t="s">
        <v>137</v>
      </c>
      <c r="T529" t="s">
        <v>74</v>
      </c>
      <c r="W529" s="5">
        <f ca="1">+(TODAY()-Tabla2[[#This Row],[FECHA DE NACIMIENTO]])/360</f>
        <v>128.05833333333334</v>
      </c>
    </row>
    <row r="530" spans="1:23" x14ac:dyDescent="0.45">
      <c r="A530" t="s">
        <v>23</v>
      </c>
      <c r="B530" t="s">
        <v>1778</v>
      </c>
      <c r="C530" t="s">
        <v>89</v>
      </c>
      <c r="D530" s="1">
        <v>46037</v>
      </c>
      <c r="E530" t="s">
        <v>2373</v>
      </c>
      <c r="F530" t="s">
        <v>2374</v>
      </c>
      <c r="G530" t="s">
        <v>42</v>
      </c>
      <c r="H530" t="s">
        <v>2375</v>
      </c>
      <c r="I530" t="s">
        <v>2376</v>
      </c>
      <c r="J530" t="s">
        <v>1782</v>
      </c>
      <c r="K530" t="s">
        <v>2377</v>
      </c>
      <c r="L530">
        <v>977194709</v>
      </c>
      <c r="M530" t="s">
        <v>33</v>
      </c>
      <c r="N530" t="s">
        <v>34</v>
      </c>
      <c r="O530" t="s">
        <v>58</v>
      </c>
      <c r="P530" t="s">
        <v>66</v>
      </c>
      <c r="Q530">
        <v>19348004</v>
      </c>
      <c r="R530" t="s">
        <v>37</v>
      </c>
      <c r="S530" t="s">
        <v>137</v>
      </c>
      <c r="T530" t="s">
        <v>74</v>
      </c>
      <c r="W530" s="5">
        <f ca="1">+(TODAY()-Tabla2[[#This Row],[FECHA DE NACIMIENTO]])/360</f>
        <v>128.05833333333334</v>
      </c>
    </row>
    <row r="531" spans="1:23" x14ac:dyDescent="0.45">
      <c r="A531" t="s">
        <v>23</v>
      </c>
      <c r="B531" t="s">
        <v>1778</v>
      </c>
      <c r="C531" t="s">
        <v>89</v>
      </c>
      <c r="D531" s="1">
        <v>46037</v>
      </c>
      <c r="E531" t="s">
        <v>2378</v>
      </c>
      <c r="F531" t="s">
        <v>2379</v>
      </c>
      <c r="G531" t="s">
        <v>42</v>
      </c>
      <c r="H531" t="s">
        <v>2380</v>
      </c>
      <c r="I531" t="s">
        <v>2381</v>
      </c>
      <c r="J531" t="s">
        <v>2382</v>
      </c>
      <c r="K531" t="s">
        <v>2383</v>
      </c>
      <c r="L531">
        <v>56965496273</v>
      </c>
      <c r="M531" t="s">
        <v>33</v>
      </c>
      <c r="N531" t="s">
        <v>34</v>
      </c>
      <c r="O531" t="s">
        <v>58</v>
      </c>
      <c r="P531" t="s">
        <v>17</v>
      </c>
      <c r="Q531">
        <v>17857671</v>
      </c>
      <c r="R531" t="s">
        <v>37</v>
      </c>
      <c r="S531" t="s">
        <v>137</v>
      </c>
      <c r="T531" t="s">
        <v>74</v>
      </c>
      <c r="W531" s="5">
        <f ca="1">+(TODAY()-Tabla2[[#This Row],[FECHA DE NACIMIENTO]])/360</f>
        <v>128.05833333333334</v>
      </c>
    </row>
    <row r="532" spans="1:23" x14ac:dyDescent="0.45">
      <c r="A532" t="s">
        <v>23</v>
      </c>
      <c r="B532" t="s">
        <v>1778</v>
      </c>
      <c r="C532" t="s">
        <v>89</v>
      </c>
      <c r="D532" s="1">
        <v>46037</v>
      </c>
      <c r="E532" t="s">
        <v>2384</v>
      </c>
      <c r="F532" t="s">
        <v>2385</v>
      </c>
      <c r="G532" t="s">
        <v>42</v>
      </c>
      <c r="H532" t="s">
        <v>156</v>
      </c>
      <c r="I532" t="s">
        <v>2386</v>
      </c>
      <c r="J532" t="s">
        <v>2387</v>
      </c>
      <c r="K532" t="s">
        <v>2388</v>
      </c>
      <c r="L532">
        <v>934191679</v>
      </c>
      <c r="M532" t="s">
        <v>33</v>
      </c>
      <c r="N532" t="s">
        <v>57</v>
      </c>
      <c r="O532" t="s">
        <v>35</v>
      </c>
      <c r="P532" t="s">
        <v>96</v>
      </c>
      <c r="Q532">
        <v>70812375</v>
      </c>
      <c r="R532" t="s">
        <v>37</v>
      </c>
      <c r="S532" t="s">
        <v>137</v>
      </c>
      <c r="T532" t="s">
        <v>74</v>
      </c>
      <c r="W532" s="5">
        <f ca="1">+(TODAY()-Tabla2[[#This Row],[FECHA DE NACIMIENTO]])/360</f>
        <v>128.05833333333334</v>
      </c>
    </row>
    <row r="533" spans="1:23" x14ac:dyDescent="0.45">
      <c r="A533" t="s">
        <v>23</v>
      </c>
      <c r="B533" t="s">
        <v>1778</v>
      </c>
      <c r="C533" t="s">
        <v>89</v>
      </c>
      <c r="D533" s="1">
        <v>46037</v>
      </c>
      <c r="E533" t="s">
        <v>2389</v>
      </c>
      <c r="F533" t="s">
        <v>2390</v>
      </c>
      <c r="G533" t="s">
        <v>42</v>
      </c>
      <c r="H533" t="s">
        <v>794</v>
      </c>
      <c r="I533" t="s">
        <v>2391</v>
      </c>
      <c r="J533" t="s">
        <v>2382</v>
      </c>
      <c r="K533" t="s">
        <v>2392</v>
      </c>
      <c r="L533">
        <v>949796813</v>
      </c>
      <c r="M533" t="s">
        <v>56</v>
      </c>
      <c r="N533" t="s">
        <v>34</v>
      </c>
      <c r="O533" t="s">
        <v>35</v>
      </c>
      <c r="P533" t="s">
        <v>48</v>
      </c>
      <c r="Q533">
        <v>8440002702</v>
      </c>
      <c r="R533" t="s">
        <v>60</v>
      </c>
      <c r="S533" t="s">
        <v>137</v>
      </c>
      <c r="T533" t="s">
        <v>74</v>
      </c>
      <c r="W533" s="5">
        <f ca="1">+(TODAY()-Tabla2[[#This Row],[FECHA DE NACIMIENTO]])/360</f>
        <v>128.05833333333334</v>
      </c>
    </row>
    <row r="534" spans="1:23" x14ac:dyDescent="0.45">
      <c r="A534" t="s">
        <v>23</v>
      </c>
      <c r="B534" t="s">
        <v>1778</v>
      </c>
      <c r="C534" t="s">
        <v>89</v>
      </c>
      <c r="D534" s="1">
        <v>46037</v>
      </c>
      <c r="E534" t="s">
        <v>2393</v>
      </c>
      <c r="F534" t="s">
        <v>2394</v>
      </c>
      <c r="G534" t="s">
        <v>42</v>
      </c>
      <c r="H534" t="s">
        <v>267</v>
      </c>
      <c r="I534" t="s">
        <v>2395</v>
      </c>
      <c r="J534" t="s">
        <v>1806</v>
      </c>
      <c r="K534" t="s">
        <v>2396</v>
      </c>
      <c r="L534">
        <v>981207237</v>
      </c>
      <c r="M534" t="s">
        <v>33</v>
      </c>
      <c r="N534" t="s">
        <v>34</v>
      </c>
      <c r="O534" t="s">
        <v>58</v>
      </c>
      <c r="P534" t="s">
        <v>66</v>
      </c>
      <c r="Q534">
        <v>16483785</v>
      </c>
      <c r="R534" t="s">
        <v>37</v>
      </c>
      <c r="S534" t="s">
        <v>137</v>
      </c>
      <c r="T534" t="s">
        <v>74</v>
      </c>
      <c r="W534" s="5">
        <f ca="1">+(TODAY()-Tabla2[[#This Row],[FECHA DE NACIMIENTO]])/360</f>
        <v>128.05833333333334</v>
      </c>
    </row>
    <row r="535" spans="1:23" x14ac:dyDescent="0.45">
      <c r="A535" t="s">
        <v>23</v>
      </c>
      <c r="B535" t="s">
        <v>1778</v>
      </c>
      <c r="C535" t="s">
        <v>89</v>
      </c>
      <c r="D535" s="1">
        <v>46037</v>
      </c>
      <c r="E535" t="s">
        <v>2397</v>
      </c>
      <c r="F535" t="s">
        <v>2398</v>
      </c>
      <c r="G535" t="s">
        <v>42</v>
      </c>
      <c r="H535" t="s">
        <v>2399</v>
      </c>
      <c r="I535" t="s">
        <v>2400</v>
      </c>
      <c r="J535" t="s">
        <v>1782</v>
      </c>
      <c r="K535" t="s">
        <v>2401</v>
      </c>
      <c r="L535">
        <v>954148752</v>
      </c>
      <c r="M535" t="s">
        <v>932</v>
      </c>
      <c r="N535" t="s">
        <v>34</v>
      </c>
      <c r="O535" t="s">
        <v>35</v>
      </c>
      <c r="P535" t="s">
        <v>73</v>
      </c>
      <c r="Q535">
        <v>4012981115</v>
      </c>
      <c r="R535" t="s">
        <v>60</v>
      </c>
      <c r="S535" t="s">
        <v>137</v>
      </c>
      <c r="T535" t="s">
        <v>74</v>
      </c>
      <c r="W535" s="5">
        <f ca="1">+(TODAY()-Tabla2[[#This Row],[FECHA DE NACIMIENTO]])/360</f>
        <v>128.05833333333334</v>
      </c>
    </row>
    <row r="536" spans="1:23" x14ac:dyDescent="0.45">
      <c r="A536" t="s">
        <v>23</v>
      </c>
      <c r="B536" t="s">
        <v>1778</v>
      </c>
      <c r="C536" t="s">
        <v>89</v>
      </c>
      <c r="D536" s="1">
        <v>46037</v>
      </c>
      <c r="E536" t="s">
        <v>2402</v>
      </c>
      <c r="F536" t="s">
        <v>2403</v>
      </c>
      <c r="G536" t="s">
        <v>42</v>
      </c>
      <c r="H536" t="s">
        <v>2404</v>
      </c>
      <c r="I536" t="s">
        <v>2405</v>
      </c>
      <c r="J536" t="s">
        <v>2382</v>
      </c>
      <c r="K536" t="s">
        <v>2406</v>
      </c>
      <c r="L536">
        <v>984207709</v>
      </c>
      <c r="M536" t="s">
        <v>33</v>
      </c>
      <c r="N536" t="s">
        <v>34</v>
      </c>
      <c r="O536" t="s">
        <v>35</v>
      </c>
      <c r="P536" t="s">
        <v>36</v>
      </c>
      <c r="Q536">
        <v>82563059</v>
      </c>
      <c r="R536" t="s">
        <v>37</v>
      </c>
      <c r="S536" t="s">
        <v>137</v>
      </c>
      <c r="T536" t="s">
        <v>74</v>
      </c>
      <c r="W536" s="5">
        <f ca="1">+(TODAY()-Tabla2[[#This Row],[FECHA DE NACIMIENTO]])/360</f>
        <v>128.05833333333334</v>
      </c>
    </row>
    <row r="537" spans="1:23" x14ac:dyDescent="0.45">
      <c r="A537" t="s">
        <v>23</v>
      </c>
      <c r="B537" t="s">
        <v>125</v>
      </c>
      <c r="C537" t="s">
        <v>89</v>
      </c>
      <c r="D537" s="1">
        <v>46037</v>
      </c>
      <c r="E537" t="s">
        <v>2407</v>
      </c>
      <c r="F537" t="s">
        <v>2408</v>
      </c>
      <c r="G537" t="s">
        <v>28</v>
      </c>
      <c r="H537" t="s">
        <v>2409</v>
      </c>
      <c r="I537" t="s">
        <v>2410</v>
      </c>
      <c r="J537" t="s">
        <v>820</v>
      </c>
      <c r="K537" t="s">
        <v>2411</v>
      </c>
      <c r="L537">
        <v>994951702</v>
      </c>
      <c r="M537" t="s">
        <v>932</v>
      </c>
      <c r="N537" t="s">
        <v>34</v>
      </c>
      <c r="O537" t="s">
        <v>58</v>
      </c>
      <c r="P537" t="s">
        <v>17</v>
      </c>
      <c r="Q537">
        <v>117410277</v>
      </c>
      <c r="R537" t="s">
        <v>37</v>
      </c>
      <c r="S537" t="s">
        <v>38</v>
      </c>
      <c r="T537" t="s">
        <v>89</v>
      </c>
      <c r="W537" s="5">
        <f ca="1">+(TODAY()-Tabla2[[#This Row],[FECHA DE NACIMIENTO]])/360</f>
        <v>128.05833333333334</v>
      </c>
    </row>
    <row r="538" spans="1:23" x14ac:dyDescent="0.45">
      <c r="A538" t="s">
        <v>23</v>
      </c>
      <c r="B538" t="s">
        <v>1778</v>
      </c>
      <c r="C538" t="s">
        <v>89</v>
      </c>
      <c r="D538" s="1">
        <v>46037</v>
      </c>
      <c r="E538" t="s">
        <v>2412</v>
      </c>
      <c r="F538" t="s">
        <v>2413</v>
      </c>
      <c r="G538" t="s">
        <v>28</v>
      </c>
      <c r="H538" t="s">
        <v>327</v>
      </c>
      <c r="I538" t="s">
        <v>2414</v>
      </c>
      <c r="J538" t="s">
        <v>1806</v>
      </c>
      <c r="K538" t="s">
        <v>2415</v>
      </c>
      <c r="L538">
        <v>929486396</v>
      </c>
      <c r="M538" t="s">
        <v>33</v>
      </c>
      <c r="N538" t="s">
        <v>34</v>
      </c>
      <c r="O538" t="s">
        <v>58</v>
      </c>
      <c r="P538" t="s">
        <v>66</v>
      </c>
      <c r="Q538">
        <v>198713775</v>
      </c>
      <c r="R538" t="s">
        <v>37</v>
      </c>
      <c r="S538" t="s">
        <v>137</v>
      </c>
      <c r="T538" t="s">
        <v>74</v>
      </c>
      <c r="W538" s="5">
        <f ca="1">+(TODAY()-Tabla2[[#This Row],[FECHA DE NACIMIENTO]])/360</f>
        <v>128.05833333333334</v>
      </c>
    </row>
    <row r="539" spans="1:23" x14ac:dyDescent="0.45">
      <c r="A539" t="s">
        <v>23</v>
      </c>
      <c r="B539" t="s">
        <v>1778</v>
      </c>
      <c r="C539" t="s">
        <v>89</v>
      </c>
      <c r="D539" s="1">
        <v>46037</v>
      </c>
      <c r="E539" t="s">
        <v>2416</v>
      </c>
      <c r="F539" t="s">
        <v>2417</v>
      </c>
      <c r="G539" t="s">
        <v>28</v>
      </c>
      <c r="H539" t="s">
        <v>69</v>
      </c>
      <c r="I539" t="s">
        <v>2418</v>
      </c>
      <c r="J539" t="s">
        <v>2387</v>
      </c>
      <c r="K539" t="s">
        <v>2419</v>
      </c>
      <c r="L539">
        <v>921208411</v>
      </c>
      <c r="M539" t="s">
        <v>33</v>
      </c>
      <c r="N539" t="s">
        <v>57</v>
      </c>
      <c r="O539" t="s">
        <v>58</v>
      </c>
      <c r="P539" t="s">
        <v>96</v>
      </c>
      <c r="Q539">
        <v>777027334730</v>
      </c>
      <c r="R539" t="s">
        <v>37</v>
      </c>
      <c r="S539" t="s">
        <v>137</v>
      </c>
      <c r="T539" t="s">
        <v>74</v>
      </c>
      <c r="W539" s="5">
        <f ca="1">+(TODAY()-Tabla2[[#This Row],[FECHA DE NACIMIENTO]])/360</f>
        <v>128.05833333333334</v>
      </c>
    </row>
    <row r="540" spans="1:23" x14ac:dyDescent="0.45">
      <c r="A540" t="s">
        <v>645</v>
      </c>
      <c r="B540" t="s">
        <v>2018</v>
      </c>
      <c r="C540" t="s">
        <v>89</v>
      </c>
      <c r="D540" s="1">
        <v>46042</v>
      </c>
      <c r="E540" t="s">
        <v>2420</v>
      </c>
      <c r="F540" t="s">
        <v>2421</v>
      </c>
      <c r="G540" t="s">
        <v>28</v>
      </c>
      <c r="H540" t="s">
        <v>2422</v>
      </c>
      <c r="I540" t="s">
        <v>2423</v>
      </c>
      <c r="J540" t="s">
        <v>1429</v>
      </c>
      <c r="K540" t="s">
        <v>2424</v>
      </c>
      <c r="L540">
        <v>937425630</v>
      </c>
      <c r="M540" t="s">
        <v>33</v>
      </c>
      <c r="N540" t="s">
        <v>34</v>
      </c>
      <c r="O540" t="s">
        <v>58</v>
      </c>
      <c r="P540" t="s">
        <v>66</v>
      </c>
      <c r="Q540">
        <v>209455757</v>
      </c>
      <c r="R540" t="s">
        <v>37</v>
      </c>
      <c r="W540" s="5">
        <f ca="1">+(TODAY()-Tabla2[[#This Row],[FECHA DE NACIMIENTO]])/360</f>
        <v>128.05833333333334</v>
      </c>
    </row>
    <row r="541" spans="1:23" x14ac:dyDescent="0.45">
      <c r="A541" t="s">
        <v>23</v>
      </c>
      <c r="B541" t="s">
        <v>388</v>
      </c>
      <c r="C541" t="s">
        <v>89</v>
      </c>
      <c r="D541" s="1">
        <v>46042</v>
      </c>
      <c r="E541" t="s">
        <v>2425</v>
      </c>
      <c r="F541" t="s">
        <v>2426</v>
      </c>
      <c r="G541" t="s">
        <v>42</v>
      </c>
      <c r="H541" t="s">
        <v>2427</v>
      </c>
      <c r="I541" t="s">
        <v>2428</v>
      </c>
      <c r="J541" t="s">
        <v>152</v>
      </c>
      <c r="K541" t="s">
        <v>2429</v>
      </c>
      <c r="L541">
        <v>950007299</v>
      </c>
      <c r="M541" t="s">
        <v>33</v>
      </c>
      <c r="N541" t="s">
        <v>34</v>
      </c>
      <c r="O541" t="s">
        <v>58</v>
      </c>
      <c r="P541" t="s">
        <v>17</v>
      </c>
      <c r="Q541">
        <v>197213345</v>
      </c>
      <c r="R541" t="s">
        <v>60</v>
      </c>
      <c r="W541" s="5">
        <f ca="1">+(TODAY()-Tabla2[[#This Row],[FECHA DE NACIMIENTO]])/360</f>
        <v>128.05833333333334</v>
      </c>
    </row>
    <row r="542" spans="1:23" x14ac:dyDescent="0.45">
      <c r="A542" t="s">
        <v>23</v>
      </c>
      <c r="B542" t="s">
        <v>659</v>
      </c>
      <c r="C542" t="s">
        <v>89</v>
      </c>
      <c r="D542" s="1">
        <v>46042</v>
      </c>
      <c r="E542" t="s">
        <v>2430</v>
      </c>
      <c r="F542" t="s">
        <v>2431</v>
      </c>
      <c r="G542" t="s">
        <v>42</v>
      </c>
      <c r="H542" t="s">
        <v>2432</v>
      </c>
      <c r="I542" t="s">
        <v>2433</v>
      </c>
      <c r="J542" t="s">
        <v>364</v>
      </c>
      <c r="K542" t="s">
        <v>2434</v>
      </c>
      <c r="L542">
        <v>56988148549</v>
      </c>
      <c r="M542" t="s">
        <v>33</v>
      </c>
      <c r="N542" t="s">
        <v>34</v>
      </c>
      <c r="O542" t="s">
        <v>35</v>
      </c>
      <c r="P542" t="s">
        <v>36</v>
      </c>
      <c r="Q542">
        <v>70269910</v>
      </c>
      <c r="R542" t="s">
        <v>37</v>
      </c>
      <c r="W542" s="5">
        <f ca="1">+(TODAY()-Tabla2[[#This Row],[FECHA DE NACIMIENTO]])/360</f>
        <v>128.05833333333334</v>
      </c>
    </row>
    <row r="543" spans="1:23" x14ac:dyDescent="0.45">
      <c r="A543" t="s">
        <v>23</v>
      </c>
      <c r="B543" t="s">
        <v>131</v>
      </c>
      <c r="C543" t="s">
        <v>89</v>
      </c>
      <c r="D543" s="1">
        <v>46042</v>
      </c>
      <c r="E543" t="s">
        <v>2435</v>
      </c>
      <c r="F543" t="s">
        <v>2436</v>
      </c>
      <c r="G543" t="s">
        <v>42</v>
      </c>
      <c r="H543" t="s">
        <v>2437</v>
      </c>
      <c r="I543" t="s">
        <v>2438</v>
      </c>
      <c r="J543" t="s">
        <v>643</v>
      </c>
      <c r="K543" t="s">
        <v>2439</v>
      </c>
      <c r="L543">
        <v>971016462</v>
      </c>
      <c r="M543" t="s">
        <v>932</v>
      </c>
      <c r="N543" t="s">
        <v>34</v>
      </c>
      <c r="O543" t="s">
        <v>58</v>
      </c>
      <c r="P543" t="s">
        <v>59</v>
      </c>
      <c r="Q543">
        <v>230033493</v>
      </c>
      <c r="R543" t="s">
        <v>60</v>
      </c>
      <c r="S543" t="s">
        <v>38</v>
      </c>
      <c r="T543" t="s">
        <v>39</v>
      </c>
      <c r="W543" s="5">
        <f ca="1">+(TODAY()-Tabla2[[#This Row],[FECHA DE NACIMIENTO]])/360</f>
        <v>128.05833333333334</v>
      </c>
    </row>
    <row r="544" spans="1:23" x14ac:dyDescent="0.45">
      <c r="A544" t="s">
        <v>23</v>
      </c>
      <c r="B544" t="s">
        <v>659</v>
      </c>
      <c r="C544" t="s">
        <v>89</v>
      </c>
      <c r="D544" s="1">
        <v>46042</v>
      </c>
      <c r="E544" t="s">
        <v>2440</v>
      </c>
      <c r="F544" t="s">
        <v>2441</v>
      </c>
      <c r="G544" t="s">
        <v>42</v>
      </c>
      <c r="H544" t="s">
        <v>2442</v>
      </c>
      <c r="I544" t="s">
        <v>2443</v>
      </c>
      <c r="J544" t="s">
        <v>165</v>
      </c>
      <c r="K544" t="s">
        <v>2444</v>
      </c>
      <c r="L544">
        <v>935554125</v>
      </c>
      <c r="M544" t="s">
        <v>33</v>
      </c>
      <c r="N544" t="s">
        <v>57</v>
      </c>
      <c r="O544" t="s">
        <v>35</v>
      </c>
      <c r="P544" t="s">
        <v>96</v>
      </c>
      <c r="Q544">
        <v>18335179</v>
      </c>
      <c r="R544" t="s">
        <v>37</v>
      </c>
      <c r="W544" s="5">
        <f ca="1">+(TODAY()-Tabla2[[#This Row],[FECHA DE NACIMIENTO]])/360</f>
        <v>128.05833333333334</v>
      </c>
    </row>
    <row r="545" spans="1:23" x14ac:dyDescent="0.45">
      <c r="A545" t="s">
        <v>23</v>
      </c>
      <c r="B545" t="s">
        <v>632</v>
      </c>
      <c r="C545" t="s">
        <v>633</v>
      </c>
      <c r="D545" s="1">
        <v>46042</v>
      </c>
      <c r="E545" t="s">
        <v>2445</v>
      </c>
      <c r="F545" t="s">
        <v>2446</v>
      </c>
      <c r="G545" t="s">
        <v>28</v>
      </c>
      <c r="H545" t="s">
        <v>2447</v>
      </c>
      <c r="I545" t="s">
        <v>2448</v>
      </c>
      <c r="J545" t="s">
        <v>820</v>
      </c>
      <c r="K545" t="s">
        <v>2449</v>
      </c>
      <c r="L545">
        <v>992670616</v>
      </c>
      <c r="M545" t="s">
        <v>33</v>
      </c>
      <c r="N545" t="s">
        <v>57</v>
      </c>
      <c r="O545" t="s">
        <v>35</v>
      </c>
      <c r="P545" t="s">
        <v>66</v>
      </c>
      <c r="Q545">
        <v>5300028936</v>
      </c>
      <c r="R545" t="s">
        <v>37</v>
      </c>
      <c r="S545" t="s">
        <v>38</v>
      </c>
      <c r="T545" t="s">
        <v>89</v>
      </c>
      <c r="W545" s="5">
        <f ca="1">+(TODAY()-Tabla2[[#This Row],[FECHA DE NACIMIENTO]])/360</f>
        <v>128.05833333333334</v>
      </c>
    </row>
    <row r="546" spans="1:23" x14ac:dyDescent="0.45">
      <c r="A546" t="s">
        <v>23</v>
      </c>
      <c r="B546" t="s">
        <v>659</v>
      </c>
      <c r="C546" t="s">
        <v>89</v>
      </c>
      <c r="D546" s="1">
        <v>46042</v>
      </c>
      <c r="E546" t="s">
        <v>2450</v>
      </c>
      <c r="F546" t="s">
        <v>2451</v>
      </c>
      <c r="G546" t="s">
        <v>42</v>
      </c>
      <c r="H546" t="s">
        <v>89</v>
      </c>
      <c r="I546" t="s">
        <v>2452</v>
      </c>
      <c r="J546" t="s">
        <v>31</v>
      </c>
      <c r="K546" t="s">
        <v>2453</v>
      </c>
      <c r="L546">
        <v>978771429</v>
      </c>
      <c r="M546" t="s">
        <v>683</v>
      </c>
      <c r="N546" t="s">
        <v>34</v>
      </c>
      <c r="O546" t="s">
        <v>58</v>
      </c>
      <c r="P546" t="s">
        <v>82</v>
      </c>
      <c r="Q546">
        <v>55330028552</v>
      </c>
      <c r="R546" t="s">
        <v>37</v>
      </c>
      <c r="W546" s="5">
        <f ca="1">+(TODAY()-Tabla2[[#This Row],[FECHA DE NACIMIENTO]])/360</f>
        <v>128.05833333333334</v>
      </c>
    </row>
    <row r="547" spans="1:23" x14ac:dyDescent="0.45">
      <c r="A547" t="s">
        <v>645</v>
      </c>
      <c r="B547" t="s">
        <v>2454</v>
      </c>
      <c r="C547" t="s">
        <v>89</v>
      </c>
      <c r="D547" s="1">
        <v>46049</v>
      </c>
      <c r="E547" t="s">
        <v>2455</v>
      </c>
      <c r="F547" t="s">
        <v>2456</v>
      </c>
      <c r="G547" t="s">
        <v>28</v>
      </c>
      <c r="H547" t="s">
        <v>239</v>
      </c>
      <c r="I547" t="s">
        <v>2457</v>
      </c>
      <c r="J547" t="s">
        <v>834</v>
      </c>
      <c r="K547" t="s">
        <v>2458</v>
      </c>
      <c r="L547">
        <v>992522203</v>
      </c>
      <c r="M547" t="s">
        <v>33</v>
      </c>
      <c r="N547" t="s">
        <v>536</v>
      </c>
      <c r="O547" t="s">
        <v>58</v>
      </c>
      <c r="P547" t="s">
        <v>66</v>
      </c>
      <c r="Q547">
        <v>147402589</v>
      </c>
      <c r="R547" t="s">
        <v>37</v>
      </c>
      <c r="W547" s="5">
        <f ca="1">+(TODAY()-Tabla2[[#This Row],[FECHA DE NACIMIENTO]])/360</f>
        <v>128.05833333333334</v>
      </c>
    </row>
    <row r="548" spans="1:23" x14ac:dyDescent="0.45">
      <c r="A548" t="s">
        <v>23</v>
      </c>
      <c r="B548" t="s">
        <v>646</v>
      </c>
      <c r="C548" t="s">
        <v>89</v>
      </c>
      <c r="D548" s="1">
        <v>46049</v>
      </c>
      <c r="E548" t="s">
        <v>2459</v>
      </c>
      <c r="F548" t="s">
        <v>2460</v>
      </c>
      <c r="G548" t="s">
        <v>28</v>
      </c>
      <c r="H548" t="s">
        <v>2461</v>
      </c>
      <c r="I548" t="s">
        <v>2462</v>
      </c>
      <c r="J548" t="s">
        <v>165</v>
      </c>
      <c r="K548" t="s">
        <v>2463</v>
      </c>
      <c r="L548">
        <v>957907280</v>
      </c>
      <c r="M548" t="s">
        <v>33</v>
      </c>
      <c r="N548" t="s">
        <v>34</v>
      </c>
      <c r="O548" t="s">
        <v>35</v>
      </c>
      <c r="P548" t="s">
        <v>82</v>
      </c>
      <c r="Q548">
        <v>19842509079</v>
      </c>
      <c r="R548" t="s">
        <v>37</v>
      </c>
      <c r="W548" s="5">
        <f ca="1">+(TODAY()-Tabla2[[#This Row],[FECHA DE NACIMIENTO]])/360</f>
        <v>128.05833333333334</v>
      </c>
    </row>
    <row r="549" spans="1:23" x14ac:dyDescent="0.45">
      <c r="A549" t="s">
        <v>645</v>
      </c>
      <c r="B549" t="s">
        <v>694</v>
      </c>
      <c r="C549" t="s">
        <v>89</v>
      </c>
      <c r="D549" s="1">
        <v>46049</v>
      </c>
      <c r="E549" t="s">
        <v>2464</v>
      </c>
      <c r="F549" t="s">
        <v>2465</v>
      </c>
      <c r="G549" t="s">
        <v>28</v>
      </c>
      <c r="H549" t="s">
        <v>2466</v>
      </c>
      <c r="I549" t="s">
        <v>2467</v>
      </c>
      <c r="J549" t="s">
        <v>834</v>
      </c>
      <c r="K549" t="s">
        <v>2468</v>
      </c>
      <c r="L549">
        <v>922307211</v>
      </c>
      <c r="M549" t="s">
        <v>33</v>
      </c>
      <c r="N549" t="s">
        <v>34</v>
      </c>
      <c r="O549" t="s">
        <v>58</v>
      </c>
      <c r="P549" t="s">
        <v>66</v>
      </c>
      <c r="Q549">
        <v>222146321</v>
      </c>
      <c r="R549" t="s">
        <v>37</v>
      </c>
      <c r="W549" s="5">
        <f ca="1">+(TODAY()-Tabla2[[#This Row],[FECHA DE NACIMIENTO]])/360</f>
        <v>128.05833333333334</v>
      </c>
    </row>
    <row r="550" spans="1:23" x14ac:dyDescent="0.45">
      <c r="A550" t="s">
        <v>23</v>
      </c>
      <c r="B550" t="s">
        <v>777</v>
      </c>
      <c r="C550" t="s">
        <v>89</v>
      </c>
      <c r="D550" s="1">
        <v>46049</v>
      </c>
      <c r="E550" t="s">
        <v>2469</v>
      </c>
      <c r="F550" t="s">
        <v>2470</v>
      </c>
      <c r="G550" t="s">
        <v>42</v>
      </c>
      <c r="H550" t="s">
        <v>69</v>
      </c>
      <c r="I550" t="s">
        <v>2471</v>
      </c>
      <c r="J550" t="s">
        <v>204</v>
      </c>
      <c r="K550" t="s">
        <v>2472</v>
      </c>
      <c r="L550">
        <v>942281698</v>
      </c>
      <c r="M550" t="s">
        <v>56</v>
      </c>
      <c r="N550" t="s">
        <v>34</v>
      </c>
      <c r="O550" t="s">
        <v>35</v>
      </c>
      <c r="P550" t="s">
        <v>1942</v>
      </c>
      <c r="Q550">
        <v>19810020550</v>
      </c>
      <c r="R550" t="s">
        <v>37</v>
      </c>
      <c r="W550" s="5">
        <f ca="1">+(TODAY()-Tabla2[[#This Row],[FECHA DE NACIMIENTO]])/360</f>
        <v>128.05833333333334</v>
      </c>
    </row>
    <row r="551" spans="1:23" x14ac:dyDescent="0.45">
      <c r="A551" t="s">
        <v>23</v>
      </c>
      <c r="B551" t="s">
        <v>659</v>
      </c>
      <c r="C551" t="s">
        <v>89</v>
      </c>
      <c r="D551" s="1">
        <v>46049</v>
      </c>
      <c r="E551" t="s">
        <v>2473</v>
      </c>
      <c r="F551" t="s">
        <v>2474</v>
      </c>
      <c r="G551" t="s">
        <v>42</v>
      </c>
      <c r="H551" t="s">
        <v>156</v>
      </c>
      <c r="I551" t="s">
        <v>2475</v>
      </c>
      <c r="J551" t="s">
        <v>142</v>
      </c>
      <c r="K551" t="s">
        <v>2476</v>
      </c>
      <c r="L551">
        <v>993898868</v>
      </c>
      <c r="M551" t="s">
        <v>33</v>
      </c>
      <c r="N551" t="s">
        <v>34</v>
      </c>
      <c r="O551" t="s">
        <v>35</v>
      </c>
      <c r="P551" t="s">
        <v>2477</v>
      </c>
      <c r="Q551">
        <v>990258570</v>
      </c>
      <c r="R551" t="s">
        <v>37</v>
      </c>
      <c r="W551" s="5">
        <f ca="1">+(TODAY()-Tabla2[[#This Row],[FECHA DE NACIMIENTO]])/360</f>
        <v>128.05833333333334</v>
      </c>
    </row>
    <row r="552" spans="1:23" x14ac:dyDescent="0.45">
      <c r="A552" t="s">
        <v>645</v>
      </c>
      <c r="B552" t="s">
        <v>2454</v>
      </c>
      <c r="C552" t="s">
        <v>89</v>
      </c>
      <c r="D552" s="1">
        <v>46049</v>
      </c>
      <c r="E552" t="s">
        <v>2478</v>
      </c>
      <c r="F552" t="s">
        <v>2479</v>
      </c>
      <c r="G552" t="s">
        <v>28</v>
      </c>
      <c r="H552" t="s">
        <v>69</v>
      </c>
      <c r="I552" t="s">
        <v>2480</v>
      </c>
      <c r="J552" t="s">
        <v>834</v>
      </c>
      <c r="K552" t="s">
        <v>2481</v>
      </c>
      <c r="L552">
        <v>56910190165</v>
      </c>
      <c r="M552" t="s">
        <v>33</v>
      </c>
      <c r="N552" t="s">
        <v>34</v>
      </c>
      <c r="O552" t="s">
        <v>35</v>
      </c>
      <c r="P552" t="s">
        <v>1942</v>
      </c>
      <c r="Q552">
        <v>19999470231</v>
      </c>
      <c r="R552" t="s">
        <v>37</v>
      </c>
      <c r="W552" s="5">
        <f ca="1">+(TODAY()-Tabla2[[#This Row],[FECHA DE NACIMIENTO]])/360</f>
        <v>128.05833333333334</v>
      </c>
    </row>
    <row r="553" spans="1:23" x14ac:dyDescent="0.45">
      <c r="A553" t="s">
        <v>23</v>
      </c>
      <c r="B553" t="s">
        <v>125</v>
      </c>
      <c r="C553" t="s">
        <v>89</v>
      </c>
      <c r="D553" s="1">
        <v>46049</v>
      </c>
      <c r="E553" t="s">
        <v>2482</v>
      </c>
      <c r="F553" t="s">
        <v>2483</v>
      </c>
      <c r="G553" t="s">
        <v>28</v>
      </c>
      <c r="H553" t="s">
        <v>2484</v>
      </c>
      <c r="I553" t="s">
        <v>2485</v>
      </c>
      <c r="J553" t="s">
        <v>142</v>
      </c>
      <c r="K553" t="s">
        <v>2486</v>
      </c>
      <c r="L553">
        <v>974290224</v>
      </c>
      <c r="M553" t="s">
        <v>33</v>
      </c>
      <c r="N553" t="s">
        <v>34</v>
      </c>
      <c r="O553" t="s">
        <v>58</v>
      </c>
      <c r="P553" t="s">
        <v>48</v>
      </c>
      <c r="Q553">
        <v>300425013</v>
      </c>
      <c r="R553" t="s">
        <v>37</v>
      </c>
      <c r="S553" t="s">
        <v>38</v>
      </c>
      <c r="T553" t="s">
        <v>89</v>
      </c>
      <c r="W553" s="5">
        <f ca="1">+(TODAY()-Tabla2[[#This Row],[FECHA DE NACIMIENTO]])/360</f>
        <v>128.05833333333334</v>
      </c>
    </row>
    <row r="554" spans="1:23" x14ac:dyDescent="0.45">
      <c r="A554" t="s">
        <v>23</v>
      </c>
      <c r="B554" t="s">
        <v>125</v>
      </c>
      <c r="C554" t="s">
        <v>89</v>
      </c>
      <c r="D554" s="1">
        <v>46049</v>
      </c>
      <c r="E554" t="s">
        <v>2487</v>
      </c>
      <c r="F554" t="s">
        <v>2488</v>
      </c>
      <c r="G554" t="s">
        <v>28</v>
      </c>
      <c r="H554" t="s">
        <v>453</v>
      </c>
      <c r="I554" t="s">
        <v>2489</v>
      </c>
      <c r="J554" t="s">
        <v>142</v>
      </c>
      <c r="K554" t="s">
        <v>2490</v>
      </c>
      <c r="L554">
        <v>56993401335</v>
      </c>
      <c r="M554" t="s">
        <v>33</v>
      </c>
      <c r="N554" t="s">
        <v>34</v>
      </c>
      <c r="O554" t="s">
        <v>58</v>
      </c>
      <c r="P554" t="s">
        <v>66</v>
      </c>
      <c r="Q554">
        <v>18192780</v>
      </c>
      <c r="R554" t="s">
        <v>37</v>
      </c>
      <c r="S554" t="s">
        <v>38</v>
      </c>
      <c r="T554" t="s">
        <v>89</v>
      </c>
      <c r="W554" s="5">
        <f ca="1">+(TODAY()-Tabla2[[#This Row],[FECHA DE NACIMIENTO]])/360</f>
        <v>128.05833333333334</v>
      </c>
    </row>
    <row r="555" spans="1:23" x14ac:dyDescent="0.45">
      <c r="A555" t="s">
        <v>23</v>
      </c>
      <c r="B555" t="s">
        <v>646</v>
      </c>
      <c r="C555" t="s">
        <v>89</v>
      </c>
      <c r="D555" s="1">
        <v>46049</v>
      </c>
      <c r="E555" t="s">
        <v>2491</v>
      </c>
      <c r="F555" t="s">
        <v>2492</v>
      </c>
      <c r="G555" t="s">
        <v>42</v>
      </c>
      <c r="H555" t="s">
        <v>29</v>
      </c>
      <c r="I555" t="s">
        <v>2493</v>
      </c>
      <c r="J555" t="s">
        <v>915</v>
      </c>
      <c r="K555" t="s">
        <v>2494</v>
      </c>
      <c r="L555">
        <v>56953719649</v>
      </c>
      <c r="M555" t="s">
        <v>33</v>
      </c>
      <c r="N555" t="s">
        <v>34</v>
      </c>
      <c r="O555" t="s">
        <v>35</v>
      </c>
      <c r="P555" t="s">
        <v>48</v>
      </c>
      <c r="Q555">
        <v>8173941608</v>
      </c>
      <c r="R555" t="s">
        <v>37</v>
      </c>
      <c r="S555" t="s">
        <v>137</v>
      </c>
      <c r="T555" t="s">
        <v>74</v>
      </c>
      <c r="W555" s="5">
        <f ca="1">+(TODAY()-Tabla2[[#This Row],[FECHA DE NACIMIENTO]])/360</f>
        <v>128.05833333333334</v>
      </c>
    </row>
    <row r="556" spans="1:23" x14ac:dyDescent="0.45">
      <c r="A556" t="s">
        <v>23</v>
      </c>
      <c r="B556" t="s">
        <v>388</v>
      </c>
      <c r="C556" t="s">
        <v>89</v>
      </c>
      <c r="D556" s="1">
        <v>46049</v>
      </c>
      <c r="E556" t="s">
        <v>2495</v>
      </c>
      <c r="F556" t="s">
        <v>2496</v>
      </c>
      <c r="G556" t="s">
        <v>42</v>
      </c>
      <c r="H556" t="s">
        <v>2497</v>
      </c>
      <c r="I556" t="s">
        <v>2498</v>
      </c>
      <c r="J556" t="s">
        <v>142</v>
      </c>
      <c r="K556" t="s">
        <v>2499</v>
      </c>
      <c r="L556">
        <v>56949432715</v>
      </c>
      <c r="M556" t="s">
        <v>33</v>
      </c>
      <c r="N556" t="s">
        <v>34</v>
      </c>
      <c r="O556" t="s">
        <v>58</v>
      </c>
      <c r="P556" t="s">
        <v>66</v>
      </c>
      <c r="Q556">
        <v>21797287</v>
      </c>
      <c r="R556" t="s">
        <v>60</v>
      </c>
      <c r="W556" s="5">
        <f ca="1">+(TODAY()-Tabla2[[#This Row],[FECHA DE NACIMIENTO]])/360</f>
        <v>128.05833333333334</v>
      </c>
    </row>
    <row r="557" spans="1:23" x14ac:dyDescent="0.45">
      <c r="A557" t="s">
        <v>23</v>
      </c>
      <c r="B557" t="s">
        <v>777</v>
      </c>
      <c r="C557" t="s">
        <v>89</v>
      </c>
      <c r="D557" s="1">
        <v>46049</v>
      </c>
      <c r="E557" t="s">
        <v>2500</v>
      </c>
      <c r="F557" t="s">
        <v>2501</v>
      </c>
      <c r="G557" t="s">
        <v>42</v>
      </c>
      <c r="H557" t="s">
        <v>1602</v>
      </c>
      <c r="I557" t="s">
        <v>1544</v>
      </c>
      <c r="J557" t="s">
        <v>94</v>
      </c>
      <c r="K557" t="s">
        <v>2502</v>
      </c>
      <c r="L557">
        <v>961130576</v>
      </c>
      <c r="M557" t="s">
        <v>33</v>
      </c>
      <c r="N557" t="s">
        <v>34</v>
      </c>
      <c r="O557" t="s">
        <v>58</v>
      </c>
      <c r="P557" t="s">
        <v>82</v>
      </c>
      <c r="Q557">
        <v>50013999500</v>
      </c>
      <c r="R557" t="s">
        <v>60</v>
      </c>
      <c r="W557" s="5">
        <f ca="1">+(TODAY()-Tabla2[[#This Row],[FECHA DE NACIMIENTO]])/360</f>
        <v>128.05833333333334</v>
      </c>
    </row>
    <row r="558" spans="1:23" x14ac:dyDescent="0.45">
      <c r="A558" t="s">
        <v>23</v>
      </c>
      <c r="B558" t="s">
        <v>632</v>
      </c>
      <c r="C558" t="s">
        <v>633</v>
      </c>
      <c r="D558" s="1">
        <v>46050</v>
      </c>
      <c r="E558" t="s">
        <v>906</v>
      </c>
      <c r="F558" t="s">
        <v>2503</v>
      </c>
      <c r="G558" t="s">
        <v>42</v>
      </c>
      <c r="H558" t="s">
        <v>156</v>
      </c>
      <c r="I558" t="s">
        <v>909</v>
      </c>
      <c r="J558" t="s">
        <v>54</v>
      </c>
      <c r="K558" t="s">
        <v>910</v>
      </c>
      <c r="L558">
        <v>981868671</v>
      </c>
      <c r="M558" t="s">
        <v>33</v>
      </c>
      <c r="N558" t="s">
        <v>57</v>
      </c>
      <c r="O558" t="s">
        <v>35</v>
      </c>
      <c r="P558" t="s">
        <v>36</v>
      </c>
      <c r="Q558">
        <v>74194168</v>
      </c>
      <c r="R558" t="s">
        <v>37</v>
      </c>
      <c r="W558" s="5">
        <f ca="1">+(TODAY()-Tabla2[[#This Row],[FECHA DE NACIMIENTO]])/360</f>
        <v>128.05833333333334</v>
      </c>
    </row>
    <row r="559" spans="1:23" x14ac:dyDescent="0.45">
      <c r="A559" t="s">
        <v>23</v>
      </c>
      <c r="B559" t="s">
        <v>632</v>
      </c>
      <c r="C559" t="s">
        <v>633</v>
      </c>
      <c r="D559" s="1">
        <v>46050</v>
      </c>
      <c r="E559" t="s">
        <v>2504</v>
      </c>
      <c r="F559" t="s">
        <v>2505</v>
      </c>
      <c r="G559" t="s">
        <v>28</v>
      </c>
      <c r="I559" t="s">
        <v>2506</v>
      </c>
      <c r="J559" t="s">
        <v>852</v>
      </c>
      <c r="K559" t="s">
        <v>2507</v>
      </c>
      <c r="L559">
        <v>950161627</v>
      </c>
      <c r="M559" t="s">
        <v>33</v>
      </c>
      <c r="N559" t="s">
        <v>34</v>
      </c>
      <c r="O559" t="s">
        <v>58</v>
      </c>
      <c r="P559" t="s">
        <v>66</v>
      </c>
      <c r="Q559">
        <v>170524845</v>
      </c>
      <c r="R559" t="s">
        <v>37</v>
      </c>
      <c r="W559" s="5">
        <f ca="1">+(TODAY()-Tabla2[[#This Row],[FECHA DE NACIMIENTO]])/360</f>
        <v>128.05833333333334</v>
      </c>
    </row>
    <row r="560" spans="1:23" x14ac:dyDescent="0.45">
      <c r="A560" t="s">
        <v>23</v>
      </c>
      <c r="B560" t="s">
        <v>777</v>
      </c>
      <c r="C560" t="s">
        <v>89</v>
      </c>
      <c r="D560" s="1">
        <v>46050</v>
      </c>
      <c r="E560" t="s">
        <v>97</v>
      </c>
      <c r="F560" t="s">
        <v>98</v>
      </c>
      <c r="G560" t="s">
        <v>42</v>
      </c>
      <c r="H560" t="s">
        <v>99</v>
      </c>
      <c r="I560" t="s">
        <v>2508</v>
      </c>
      <c r="J560" t="s">
        <v>165</v>
      </c>
      <c r="K560" t="s">
        <v>101</v>
      </c>
      <c r="L560">
        <v>56971409743</v>
      </c>
      <c r="M560" t="s">
        <v>33</v>
      </c>
      <c r="N560" t="s">
        <v>34</v>
      </c>
      <c r="O560" t="s">
        <v>58</v>
      </c>
      <c r="P560" t="s">
        <v>1894</v>
      </c>
      <c r="Q560">
        <v>123122010</v>
      </c>
      <c r="R560" t="s">
        <v>60</v>
      </c>
      <c r="W560" s="5">
        <f ca="1">+(TODAY()-Tabla2[[#This Row],[FECHA DE NACIMIENTO]])/360</f>
        <v>128.05833333333334</v>
      </c>
    </row>
    <row r="561" spans="1:23" x14ac:dyDescent="0.45">
      <c r="A561" t="s">
        <v>23</v>
      </c>
      <c r="B561" t="s">
        <v>131</v>
      </c>
      <c r="C561" t="s">
        <v>89</v>
      </c>
      <c r="D561" s="1">
        <v>46050</v>
      </c>
      <c r="E561" t="s">
        <v>2509</v>
      </c>
      <c r="F561" t="s">
        <v>2510</v>
      </c>
      <c r="G561" t="s">
        <v>42</v>
      </c>
      <c r="H561" t="s">
        <v>156</v>
      </c>
      <c r="I561" t="s">
        <v>2511</v>
      </c>
      <c r="J561" t="s">
        <v>31</v>
      </c>
      <c r="K561" t="s">
        <v>2512</v>
      </c>
      <c r="L561">
        <v>957317263</v>
      </c>
      <c r="M561" t="s">
        <v>33</v>
      </c>
      <c r="N561" t="s">
        <v>34</v>
      </c>
      <c r="O561" t="s">
        <v>58</v>
      </c>
      <c r="P561" t="s">
        <v>66</v>
      </c>
      <c r="Q561">
        <v>115636251</v>
      </c>
      <c r="R561" t="s">
        <v>37</v>
      </c>
      <c r="W561" s="5">
        <f ca="1">+(TODAY()-Tabla2[[#This Row],[FECHA DE NACIMIENTO]])/360</f>
        <v>128.05833333333334</v>
      </c>
    </row>
    <row r="562" spans="1:23" x14ac:dyDescent="0.45">
      <c r="A562" t="s">
        <v>23</v>
      </c>
      <c r="B562" t="s">
        <v>131</v>
      </c>
      <c r="C562" t="s">
        <v>89</v>
      </c>
      <c r="D562" s="1">
        <v>46050</v>
      </c>
      <c r="E562" t="s">
        <v>2513</v>
      </c>
      <c r="F562" t="s">
        <v>2514</v>
      </c>
      <c r="G562" t="s">
        <v>42</v>
      </c>
      <c r="H562" t="s">
        <v>156</v>
      </c>
      <c r="I562" t="s">
        <v>2515</v>
      </c>
      <c r="J562" t="s">
        <v>31</v>
      </c>
      <c r="K562" t="s">
        <v>2516</v>
      </c>
      <c r="L562">
        <v>945360443</v>
      </c>
      <c r="M562" t="s">
        <v>33</v>
      </c>
      <c r="N562" t="s">
        <v>34</v>
      </c>
      <c r="O562" t="s">
        <v>58</v>
      </c>
      <c r="P562" t="s">
        <v>66</v>
      </c>
      <c r="Q562">
        <v>11649335</v>
      </c>
      <c r="R562" t="s">
        <v>37</v>
      </c>
      <c r="W562" s="5">
        <f ca="1">+(TODAY()-Tabla2[[#This Row],[FECHA DE NACIMIENTO]])/360</f>
        <v>128.05833333333334</v>
      </c>
    </row>
    <row r="563" spans="1:23" x14ac:dyDescent="0.45">
      <c r="A563" t="s">
        <v>23</v>
      </c>
      <c r="B563" t="s">
        <v>388</v>
      </c>
      <c r="C563" t="s">
        <v>89</v>
      </c>
      <c r="D563" s="1">
        <v>46055</v>
      </c>
      <c r="E563" t="s">
        <v>2517</v>
      </c>
      <c r="F563" t="s">
        <v>2518</v>
      </c>
      <c r="G563" t="s">
        <v>28</v>
      </c>
      <c r="H563" t="s">
        <v>2519</v>
      </c>
      <c r="R563" t="s">
        <v>37</v>
      </c>
      <c r="W563" s="5">
        <f ca="1">+(TODAY()-Tabla2[[#This Row],[FECHA DE NACIMIENTO]])/360</f>
        <v>128.05833333333334</v>
      </c>
    </row>
    <row r="564" spans="1:23" x14ac:dyDescent="0.45">
      <c r="A564" t="s">
        <v>23</v>
      </c>
      <c r="B564" t="s">
        <v>777</v>
      </c>
      <c r="C564" t="s">
        <v>89</v>
      </c>
      <c r="D564" s="1">
        <v>46055</v>
      </c>
      <c r="E564" t="s">
        <v>2520</v>
      </c>
      <c r="F564" t="s">
        <v>2521</v>
      </c>
      <c r="G564" t="s">
        <v>42</v>
      </c>
      <c r="H564" t="s">
        <v>2043</v>
      </c>
      <c r="R564" t="s">
        <v>37</v>
      </c>
      <c r="W564" s="5">
        <f ca="1">+(TODAY()-Tabla2[[#This Row],[FECHA DE NACIMIENTO]])/360</f>
        <v>128.05833333333334</v>
      </c>
    </row>
    <row r="565" spans="1:23" x14ac:dyDescent="0.45">
      <c r="A565" t="s">
        <v>23</v>
      </c>
      <c r="B565" t="s">
        <v>659</v>
      </c>
      <c r="C565" t="s">
        <v>89</v>
      </c>
      <c r="D565" s="1">
        <v>46055</v>
      </c>
      <c r="E565" t="s">
        <v>2522</v>
      </c>
      <c r="F565" t="s">
        <v>2523</v>
      </c>
      <c r="G565" t="s">
        <v>28</v>
      </c>
      <c r="H565" t="s">
        <v>2524</v>
      </c>
      <c r="R565" t="s">
        <v>60</v>
      </c>
      <c r="W565" s="5">
        <f ca="1">+(TODAY()-Tabla2[[#This Row],[FECHA DE NACIMIENTO]])/360</f>
        <v>128.05833333333334</v>
      </c>
    </row>
    <row r="566" spans="1:23" x14ac:dyDescent="0.45">
      <c r="A566" t="s">
        <v>23</v>
      </c>
      <c r="B566" t="s">
        <v>659</v>
      </c>
      <c r="C566" t="s">
        <v>89</v>
      </c>
      <c r="D566" s="1">
        <v>46055</v>
      </c>
      <c r="E566" t="s">
        <v>2525</v>
      </c>
      <c r="F566" t="s">
        <v>2526</v>
      </c>
      <c r="G566" t="s">
        <v>42</v>
      </c>
      <c r="H566" t="s">
        <v>2527</v>
      </c>
      <c r="R566" t="s">
        <v>60</v>
      </c>
      <c r="W566" s="5">
        <f ca="1">+(TODAY()-Tabla2[[#This Row],[FECHA DE NACIMIENTO]])/360</f>
        <v>128.05833333333334</v>
      </c>
    </row>
    <row r="567" spans="1:23" x14ac:dyDescent="0.45">
      <c r="A567" t="s">
        <v>23</v>
      </c>
      <c r="B567" t="s">
        <v>659</v>
      </c>
      <c r="C567" t="s">
        <v>89</v>
      </c>
      <c r="D567" s="1">
        <v>46055</v>
      </c>
      <c r="E567" t="s">
        <v>2528</v>
      </c>
      <c r="F567" t="s">
        <v>2529</v>
      </c>
      <c r="G567" t="s">
        <v>28</v>
      </c>
      <c r="H567" t="s">
        <v>957</v>
      </c>
      <c r="R567" t="s">
        <v>60</v>
      </c>
      <c r="W567" s="5">
        <f ca="1">+(TODAY()-Tabla2[[#This Row],[FECHA DE NACIMIENTO]])/360</f>
        <v>128.05833333333334</v>
      </c>
    </row>
    <row r="568" spans="1:23" x14ac:dyDescent="0.45">
      <c r="A568" t="s">
        <v>23</v>
      </c>
      <c r="B568" t="s">
        <v>632</v>
      </c>
      <c r="C568" t="s">
        <v>633</v>
      </c>
      <c r="D568" s="1">
        <v>46055</v>
      </c>
      <c r="E568" t="s">
        <v>2530</v>
      </c>
      <c r="F568" t="s">
        <v>2531</v>
      </c>
      <c r="G568" t="s">
        <v>28</v>
      </c>
      <c r="H568" t="s">
        <v>69</v>
      </c>
      <c r="R568" t="s">
        <v>60</v>
      </c>
      <c r="W568" s="5">
        <f ca="1">+(TODAY()-Tabla2[[#This Row],[FECHA DE NACIMIENTO]])/360</f>
        <v>128.05833333333334</v>
      </c>
    </row>
    <row r="569" spans="1:23" x14ac:dyDescent="0.45">
      <c r="A569" t="s">
        <v>23</v>
      </c>
      <c r="B569" t="s">
        <v>777</v>
      </c>
      <c r="C569" t="s">
        <v>89</v>
      </c>
      <c r="D569" s="1">
        <v>46055</v>
      </c>
      <c r="E569" t="s">
        <v>2532</v>
      </c>
      <c r="F569" t="s">
        <v>2533</v>
      </c>
      <c r="G569" t="s">
        <v>28</v>
      </c>
      <c r="H569" t="s">
        <v>2534</v>
      </c>
      <c r="R569" t="s">
        <v>60</v>
      </c>
      <c r="W569" s="5">
        <f ca="1">+(TODAY()-Tabla2[[#This Row],[FECHA DE NACIMIENTO]])/360</f>
        <v>128.05833333333334</v>
      </c>
    </row>
    <row r="570" spans="1:23" x14ac:dyDescent="0.45">
      <c r="A570" t="s">
        <v>23</v>
      </c>
      <c r="B570" t="s">
        <v>646</v>
      </c>
      <c r="C570" t="s">
        <v>89</v>
      </c>
      <c r="D570" s="1">
        <v>46055</v>
      </c>
      <c r="E570" t="s">
        <v>2535</v>
      </c>
      <c r="F570" t="s">
        <v>2536</v>
      </c>
      <c r="G570" t="s">
        <v>42</v>
      </c>
      <c r="H570" t="s">
        <v>2537</v>
      </c>
      <c r="R570" t="s">
        <v>37</v>
      </c>
      <c r="W570" s="5">
        <f ca="1">+(TODAY()-Tabla2[[#This Row],[FECHA DE NACIMIENTO]])/360</f>
        <v>128.05833333333334</v>
      </c>
    </row>
    <row r="571" spans="1:23" x14ac:dyDescent="0.45">
      <c r="A571" t="s">
        <v>23</v>
      </c>
      <c r="B571" t="s">
        <v>388</v>
      </c>
      <c r="C571" t="s">
        <v>89</v>
      </c>
      <c r="D571" s="1">
        <v>46062</v>
      </c>
      <c r="E571" t="s">
        <v>2538</v>
      </c>
      <c r="F571" t="s">
        <v>2539</v>
      </c>
      <c r="G571" t="s">
        <v>28</v>
      </c>
      <c r="H571" t="s">
        <v>2537</v>
      </c>
      <c r="R571" t="s">
        <v>37</v>
      </c>
      <c r="W571" s="5">
        <f ca="1">+(TODAY()-Tabla2[[#This Row],[FECHA DE NACIMIENTO]])/360</f>
        <v>128.05833333333334</v>
      </c>
    </row>
    <row r="572" spans="1:23" x14ac:dyDescent="0.45">
      <c r="A572" t="s">
        <v>23</v>
      </c>
      <c r="B572" t="s">
        <v>659</v>
      </c>
      <c r="C572" t="s">
        <v>89</v>
      </c>
      <c r="D572" s="1">
        <v>46062</v>
      </c>
      <c r="E572" t="s">
        <v>2540</v>
      </c>
      <c r="F572" t="s">
        <v>2541</v>
      </c>
      <c r="G572" t="s">
        <v>28</v>
      </c>
      <c r="H572" t="s">
        <v>69</v>
      </c>
      <c r="I572" t="s">
        <v>2542</v>
      </c>
      <c r="J572" t="s">
        <v>204</v>
      </c>
      <c r="K572" t="s">
        <v>2543</v>
      </c>
      <c r="L572">
        <v>933356920</v>
      </c>
      <c r="M572" t="s">
        <v>683</v>
      </c>
      <c r="N572" t="s">
        <v>34</v>
      </c>
      <c r="O572" t="s">
        <v>35</v>
      </c>
      <c r="P572" t="s">
        <v>36</v>
      </c>
      <c r="Q572">
        <v>27096735</v>
      </c>
      <c r="R572" t="s">
        <v>60</v>
      </c>
      <c r="W572" s="5">
        <f ca="1">+(TODAY()-Tabla2[[#This Row],[FECHA DE NACIMIENTO]])/360</f>
        <v>128.05833333333334</v>
      </c>
    </row>
    <row r="573" spans="1:23" x14ac:dyDescent="0.45">
      <c r="A573" t="s">
        <v>23</v>
      </c>
      <c r="B573" t="s">
        <v>646</v>
      </c>
      <c r="C573" t="s">
        <v>89</v>
      </c>
      <c r="D573" s="1">
        <v>46062</v>
      </c>
      <c r="E573" t="s">
        <v>2544</v>
      </c>
      <c r="F573" t="s">
        <v>2545</v>
      </c>
      <c r="G573" t="s">
        <v>42</v>
      </c>
      <c r="H573" t="s">
        <v>69</v>
      </c>
      <c r="I573" t="s">
        <v>2546</v>
      </c>
      <c r="J573" t="s">
        <v>915</v>
      </c>
      <c r="K573" t="s">
        <v>2547</v>
      </c>
      <c r="L573">
        <v>951441268</v>
      </c>
      <c r="M573" t="s">
        <v>33</v>
      </c>
      <c r="N573" t="s">
        <v>34</v>
      </c>
      <c r="O573" t="s">
        <v>58</v>
      </c>
      <c r="P573" t="s">
        <v>36</v>
      </c>
      <c r="Q573">
        <v>5621882909</v>
      </c>
      <c r="R573" t="s">
        <v>37</v>
      </c>
      <c r="W573" s="5">
        <f ca="1">+(TODAY()-Tabla2[[#This Row],[FECHA DE NACIMIENTO]])/360</f>
        <v>128.05833333333334</v>
      </c>
    </row>
    <row r="574" spans="1:23" x14ac:dyDescent="0.45">
      <c r="A574" t="s">
        <v>645</v>
      </c>
      <c r="B574" t="s">
        <v>2548</v>
      </c>
      <c r="C574" t="s">
        <v>89</v>
      </c>
      <c r="D574" s="1">
        <v>46062</v>
      </c>
      <c r="E574" t="s">
        <v>2549</v>
      </c>
      <c r="F574" t="s">
        <v>2550</v>
      </c>
      <c r="G574" t="s">
        <v>28</v>
      </c>
      <c r="H574" t="s">
        <v>69</v>
      </c>
      <c r="I574" t="s">
        <v>2551</v>
      </c>
      <c r="J574" t="s">
        <v>570</v>
      </c>
      <c r="K574" t="s">
        <v>2552</v>
      </c>
      <c r="L574">
        <v>998556178</v>
      </c>
      <c r="M574" t="s">
        <v>33</v>
      </c>
      <c r="N574" t="s">
        <v>34</v>
      </c>
      <c r="O574" t="s">
        <v>35</v>
      </c>
      <c r="P574" t="s">
        <v>130</v>
      </c>
      <c r="Q574">
        <v>979811616</v>
      </c>
      <c r="R574" t="s">
        <v>37</v>
      </c>
      <c r="W574" s="5">
        <f ca="1">+(TODAY()-Tabla2[[#This Row],[FECHA DE NACIMIENTO]])/360</f>
        <v>128.05833333333334</v>
      </c>
    </row>
    <row r="575" spans="1:23" x14ac:dyDescent="0.45">
      <c r="A575" t="s">
        <v>23</v>
      </c>
      <c r="B575" t="s">
        <v>659</v>
      </c>
      <c r="C575" t="s">
        <v>89</v>
      </c>
      <c r="D575" s="1">
        <v>46062</v>
      </c>
      <c r="E575" t="s">
        <v>2553</v>
      </c>
      <c r="F575" t="s">
        <v>2554</v>
      </c>
      <c r="G575" t="s">
        <v>42</v>
      </c>
      <c r="H575" t="s">
        <v>1390</v>
      </c>
      <c r="I575" t="s">
        <v>2555</v>
      </c>
      <c r="J575" t="s">
        <v>54</v>
      </c>
      <c r="K575" t="s">
        <v>2556</v>
      </c>
      <c r="L575">
        <v>56997693313</v>
      </c>
      <c r="M575" t="s">
        <v>33</v>
      </c>
      <c r="N575" t="s">
        <v>34</v>
      </c>
      <c r="O575" t="s">
        <v>35</v>
      </c>
      <c r="P575" t="s">
        <v>17</v>
      </c>
      <c r="Q575">
        <v>7964820</v>
      </c>
      <c r="R575" t="s">
        <v>60</v>
      </c>
      <c r="W575" s="5">
        <f ca="1">+(TODAY()-Tabla2[[#This Row],[FECHA DE NACIMIENTO]])/360</f>
        <v>128.05833333333334</v>
      </c>
    </row>
    <row r="576" spans="1:23" x14ac:dyDescent="0.45">
      <c r="A576" t="s">
        <v>23</v>
      </c>
      <c r="B576" t="s">
        <v>646</v>
      </c>
      <c r="C576" t="s">
        <v>89</v>
      </c>
      <c r="D576" s="1">
        <v>46062</v>
      </c>
      <c r="E576" t="s">
        <v>2557</v>
      </c>
      <c r="F576" t="s">
        <v>2558</v>
      </c>
      <c r="G576" t="s">
        <v>28</v>
      </c>
      <c r="H576" t="s">
        <v>1270</v>
      </c>
      <c r="I576" t="s">
        <v>2559</v>
      </c>
      <c r="J576" t="s">
        <v>31</v>
      </c>
      <c r="K576" t="s">
        <v>2560</v>
      </c>
      <c r="L576">
        <v>950039095</v>
      </c>
      <c r="M576" t="s">
        <v>33</v>
      </c>
      <c r="N576" t="s">
        <v>34</v>
      </c>
      <c r="O576" t="s">
        <v>58</v>
      </c>
      <c r="P576" t="s">
        <v>48</v>
      </c>
      <c r="Q576">
        <v>111822343</v>
      </c>
      <c r="R576" t="s">
        <v>37</v>
      </c>
      <c r="W576" s="5">
        <f ca="1">+(TODAY()-Tabla2[[#This Row],[FECHA DE NACIMIENTO]])/360</f>
        <v>128.05833333333334</v>
      </c>
    </row>
    <row r="577" spans="1:23" x14ac:dyDescent="0.45">
      <c r="A577" t="s">
        <v>23</v>
      </c>
      <c r="B577" t="s">
        <v>632</v>
      </c>
      <c r="C577" t="s">
        <v>633</v>
      </c>
      <c r="D577" s="1">
        <v>46062</v>
      </c>
      <c r="E577" t="s">
        <v>2561</v>
      </c>
      <c r="F577" t="s">
        <v>2562</v>
      </c>
      <c r="G577" t="s">
        <v>42</v>
      </c>
      <c r="H577" t="s">
        <v>69</v>
      </c>
      <c r="I577" t="s">
        <v>2563</v>
      </c>
      <c r="J577" t="s">
        <v>192</v>
      </c>
      <c r="K577" t="s">
        <v>2564</v>
      </c>
      <c r="L577">
        <v>978772653</v>
      </c>
      <c r="M577" t="s">
        <v>33</v>
      </c>
      <c r="N577" t="s">
        <v>57</v>
      </c>
      <c r="O577" t="s">
        <v>58</v>
      </c>
      <c r="P577" t="s">
        <v>2565</v>
      </c>
      <c r="Q577">
        <v>111120562055</v>
      </c>
      <c r="R577" t="s">
        <v>37</v>
      </c>
      <c r="W577" s="5">
        <f ca="1">+(TODAY()-Tabla2[[#This Row],[FECHA DE NACIMIENTO]])/360</f>
        <v>128.05833333333334</v>
      </c>
    </row>
    <row r="578" spans="1:23" x14ac:dyDescent="0.45">
      <c r="A578" t="s">
        <v>23</v>
      </c>
      <c r="B578" t="s">
        <v>646</v>
      </c>
      <c r="C578" t="s">
        <v>89</v>
      </c>
      <c r="D578" s="1">
        <v>46062</v>
      </c>
      <c r="E578" t="s">
        <v>2566</v>
      </c>
      <c r="F578" t="s">
        <v>2567</v>
      </c>
      <c r="G578" t="s">
        <v>42</v>
      </c>
      <c r="H578" t="s">
        <v>2568</v>
      </c>
      <c r="I578" t="s">
        <v>2569</v>
      </c>
      <c r="J578" t="s">
        <v>241</v>
      </c>
      <c r="K578" t="s">
        <v>2570</v>
      </c>
      <c r="L578">
        <v>929899824</v>
      </c>
      <c r="M578" t="s">
        <v>683</v>
      </c>
      <c r="N578" t="s">
        <v>34</v>
      </c>
      <c r="O578" t="s">
        <v>58</v>
      </c>
      <c r="P578" t="s">
        <v>66</v>
      </c>
      <c r="Q578">
        <v>134904100</v>
      </c>
      <c r="R578" t="s">
        <v>37</v>
      </c>
      <c r="W578" s="5">
        <f ca="1">+(TODAY()-Tabla2[[#This Row],[FECHA DE NACIMIENTO]])/360</f>
        <v>128.05833333333334</v>
      </c>
    </row>
    <row r="579" spans="1:23" x14ac:dyDescent="0.45">
      <c r="A579" t="s">
        <v>23</v>
      </c>
      <c r="B579" t="s">
        <v>1778</v>
      </c>
      <c r="C579" t="s">
        <v>89</v>
      </c>
      <c r="D579" s="1">
        <v>46073</v>
      </c>
      <c r="E579" t="s">
        <v>2609</v>
      </c>
      <c r="F579" t="s">
        <v>2610</v>
      </c>
      <c r="G579" t="s">
        <v>28</v>
      </c>
      <c r="H579" t="s">
        <v>69</v>
      </c>
      <c r="I579" t="s">
        <v>2611</v>
      </c>
      <c r="J579" t="s">
        <v>2612</v>
      </c>
      <c r="K579" t="s">
        <v>2613</v>
      </c>
      <c r="L579">
        <v>56978999314</v>
      </c>
      <c r="M579" t="s">
        <v>33</v>
      </c>
      <c r="N579" t="s">
        <v>34</v>
      </c>
      <c r="O579" t="s">
        <v>35</v>
      </c>
      <c r="P579" t="s">
        <v>96</v>
      </c>
      <c r="Q579">
        <v>61717011</v>
      </c>
      <c r="R579" t="s">
        <v>37</v>
      </c>
      <c r="W579" s="5">
        <f ca="1">+(TODAY()-Tabla2[[#This Row],[FECHA DE NACIMIENTO]])/360</f>
        <v>128.05833333333334</v>
      </c>
    </row>
    <row r="580" spans="1:23" x14ac:dyDescent="0.45">
      <c r="A580" t="s">
        <v>23</v>
      </c>
      <c r="B580" t="s">
        <v>1778</v>
      </c>
      <c r="C580" t="s">
        <v>89</v>
      </c>
      <c r="D580" s="1">
        <v>46073</v>
      </c>
      <c r="E580" t="s">
        <v>2614</v>
      </c>
      <c r="F580" t="s">
        <v>2615</v>
      </c>
      <c r="G580" t="s">
        <v>42</v>
      </c>
      <c r="H580" t="s">
        <v>1749</v>
      </c>
      <c r="I580" t="s">
        <v>2616</v>
      </c>
      <c r="J580" t="s">
        <v>1806</v>
      </c>
      <c r="K580" t="s">
        <v>2617</v>
      </c>
      <c r="L580">
        <v>984172411</v>
      </c>
      <c r="M580" t="s">
        <v>33</v>
      </c>
      <c r="N580" t="s">
        <v>34</v>
      </c>
      <c r="O580" t="s">
        <v>58</v>
      </c>
      <c r="P580" t="s">
        <v>17</v>
      </c>
      <c r="Q580">
        <v>15082746</v>
      </c>
      <c r="R580" t="s">
        <v>60</v>
      </c>
      <c r="W580" s="5">
        <f ca="1">+(TODAY()-Tabla2[[#This Row],[FECHA DE NACIMIENTO]])/360</f>
        <v>128.05833333333334</v>
      </c>
    </row>
    <row r="581" spans="1:23" x14ac:dyDescent="0.45">
      <c r="A581" t="s">
        <v>23</v>
      </c>
      <c r="B581" t="s">
        <v>1778</v>
      </c>
      <c r="C581" t="s">
        <v>89</v>
      </c>
      <c r="D581" s="1">
        <v>46073</v>
      </c>
      <c r="E581" t="s">
        <v>2618</v>
      </c>
      <c r="F581" t="s">
        <v>2619</v>
      </c>
      <c r="G581" t="s">
        <v>42</v>
      </c>
      <c r="H581" t="s">
        <v>1285</v>
      </c>
      <c r="I581" t="s">
        <v>2620</v>
      </c>
      <c r="J581" t="s">
        <v>2382</v>
      </c>
      <c r="K581" t="s">
        <v>2621</v>
      </c>
      <c r="L581">
        <v>983051667</v>
      </c>
      <c r="M581" t="s">
        <v>56</v>
      </c>
      <c r="N581" t="s">
        <v>34</v>
      </c>
      <c r="O581" t="s">
        <v>35</v>
      </c>
      <c r="P581" t="s">
        <v>17</v>
      </c>
      <c r="Q581">
        <v>25100081213</v>
      </c>
      <c r="R581" t="s">
        <v>60</v>
      </c>
      <c r="W581" s="5">
        <f ca="1">+(TODAY()-Tabla2[[#This Row],[FECHA DE NACIMIENTO]])/360</f>
        <v>128.05833333333334</v>
      </c>
    </row>
    <row r="582" spans="1:23" x14ac:dyDescent="0.45">
      <c r="A582" t="s">
        <v>23</v>
      </c>
      <c r="B582" t="s">
        <v>1778</v>
      </c>
      <c r="C582" t="s">
        <v>89</v>
      </c>
      <c r="D582" s="1">
        <v>46073</v>
      </c>
      <c r="E582" t="s">
        <v>2622</v>
      </c>
      <c r="F582" t="s">
        <v>2623</v>
      </c>
      <c r="G582" t="s">
        <v>42</v>
      </c>
      <c r="H582" t="s">
        <v>2043</v>
      </c>
      <c r="I582" t="s">
        <v>2624</v>
      </c>
      <c r="J582" t="s">
        <v>1782</v>
      </c>
      <c r="K582" t="s">
        <v>2625</v>
      </c>
      <c r="L582">
        <v>56998639443</v>
      </c>
      <c r="M582" t="s">
        <v>33</v>
      </c>
      <c r="N582" t="s">
        <v>34</v>
      </c>
      <c r="O582" t="s">
        <v>58</v>
      </c>
      <c r="P582" t="s">
        <v>17</v>
      </c>
      <c r="Q582">
        <v>15080147</v>
      </c>
      <c r="R582" t="s">
        <v>37</v>
      </c>
      <c r="W582" s="5">
        <f ca="1">+(TODAY()-Tabla2[[#This Row],[FECHA DE NACIMIENTO]])/360</f>
        <v>128.05833333333334</v>
      </c>
    </row>
    <row r="583" spans="1:23" x14ac:dyDescent="0.45">
      <c r="A583" t="s">
        <v>23</v>
      </c>
      <c r="B583" t="s">
        <v>388</v>
      </c>
      <c r="C583" t="s">
        <v>89</v>
      </c>
      <c r="D583" s="1">
        <v>46078</v>
      </c>
      <c r="E583" t="s">
        <v>2626</v>
      </c>
      <c r="F583" t="s">
        <v>2627</v>
      </c>
      <c r="G583" t="s">
        <v>28</v>
      </c>
      <c r="H583" t="s">
        <v>2628</v>
      </c>
      <c r="I583" t="s">
        <v>2629</v>
      </c>
      <c r="J583" t="s">
        <v>638</v>
      </c>
      <c r="K583" t="s">
        <v>2630</v>
      </c>
      <c r="L583">
        <v>942797954</v>
      </c>
      <c r="M583" t="s">
        <v>81</v>
      </c>
      <c r="N583" t="s">
        <v>34</v>
      </c>
      <c r="O583" t="s">
        <v>35</v>
      </c>
      <c r="P583" t="s">
        <v>1942</v>
      </c>
      <c r="Q583">
        <v>19820376286</v>
      </c>
      <c r="R583" t="s">
        <v>37</v>
      </c>
      <c r="W583" s="5">
        <f ca="1">+(TODAY()-Tabla2[[#This Row],[FECHA DE NACIMIENTO]])/360</f>
        <v>128.05833333333334</v>
      </c>
    </row>
    <row r="584" spans="1:23" x14ac:dyDescent="0.45">
      <c r="A584" t="s">
        <v>23</v>
      </c>
      <c r="B584" t="s">
        <v>777</v>
      </c>
      <c r="C584" t="s">
        <v>89</v>
      </c>
      <c r="D584" s="1">
        <v>46078</v>
      </c>
      <c r="E584" t="s">
        <v>2631</v>
      </c>
      <c r="F584" t="s">
        <v>2632</v>
      </c>
      <c r="G584" t="s">
        <v>42</v>
      </c>
      <c r="H584" t="s">
        <v>2633</v>
      </c>
      <c r="I584" t="s">
        <v>2634</v>
      </c>
      <c r="J584" t="s">
        <v>316</v>
      </c>
      <c r="K584" t="s">
        <v>2635</v>
      </c>
      <c r="L584">
        <v>926988489</v>
      </c>
      <c r="M584" t="s">
        <v>81</v>
      </c>
      <c r="N584" t="s">
        <v>34</v>
      </c>
      <c r="O584" t="s">
        <v>58</v>
      </c>
      <c r="P584" t="s">
        <v>96</v>
      </c>
      <c r="Q584">
        <v>16951786</v>
      </c>
      <c r="R584" t="s">
        <v>60</v>
      </c>
      <c r="W584" s="5">
        <f ca="1">+(TODAY()-Tabla2[[#This Row],[FECHA DE NACIMIENTO]])/360</f>
        <v>128.05833333333334</v>
      </c>
    </row>
    <row r="585" spans="1:23" x14ac:dyDescent="0.45">
      <c r="A585" t="s">
        <v>23</v>
      </c>
      <c r="B585" t="s">
        <v>388</v>
      </c>
      <c r="C585" t="s">
        <v>89</v>
      </c>
      <c r="D585" s="1">
        <v>46078</v>
      </c>
      <c r="E585" t="s">
        <v>2636</v>
      </c>
      <c r="F585" t="s">
        <v>2637</v>
      </c>
      <c r="G585" t="s">
        <v>42</v>
      </c>
      <c r="H585" t="s">
        <v>2638</v>
      </c>
      <c r="I585" t="s">
        <v>2639</v>
      </c>
      <c r="J585" t="s">
        <v>834</v>
      </c>
      <c r="K585" t="s">
        <v>2640</v>
      </c>
      <c r="L585">
        <v>938686996</v>
      </c>
      <c r="M585" t="s">
        <v>33</v>
      </c>
      <c r="N585" t="s">
        <v>57</v>
      </c>
      <c r="O585" t="s">
        <v>58</v>
      </c>
      <c r="P585" t="s">
        <v>2641</v>
      </c>
      <c r="Q585">
        <v>26798908</v>
      </c>
      <c r="R585" t="s">
        <v>37</v>
      </c>
      <c r="W585" s="5">
        <f ca="1">+(TODAY()-Tabla2[[#This Row],[FECHA DE NACIMIENTO]])/360</f>
        <v>128.05833333333334</v>
      </c>
    </row>
    <row r="586" spans="1:23" x14ac:dyDescent="0.45">
      <c r="A586" t="s">
        <v>23</v>
      </c>
      <c r="B586" t="s">
        <v>632</v>
      </c>
      <c r="C586" t="s">
        <v>633</v>
      </c>
      <c r="D586" s="1">
        <v>46090</v>
      </c>
      <c r="E586" t="s">
        <v>2707</v>
      </c>
      <c r="F586" t="s">
        <v>2708</v>
      </c>
      <c r="I586" t="s">
        <v>2709</v>
      </c>
      <c r="J586" t="s">
        <v>142</v>
      </c>
      <c r="K586" t="s">
        <v>2710</v>
      </c>
      <c r="L586">
        <v>929194703</v>
      </c>
      <c r="M586" t="s">
        <v>33</v>
      </c>
      <c r="N586" t="s">
        <v>34</v>
      </c>
      <c r="O586" t="s">
        <v>58</v>
      </c>
      <c r="P586" t="s">
        <v>17</v>
      </c>
      <c r="Q586">
        <v>19238090</v>
      </c>
      <c r="R586" t="s">
        <v>60</v>
      </c>
      <c r="W586" s="5">
        <f ca="1">+(TODAY()-Tabla2[[#This Row],[FECHA DE NACIMIENTO]])/360</f>
        <v>128.05833333333334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 Reclutamiento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A. Ramirez G.</cp:lastModifiedBy>
  <dcterms:created xsi:type="dcterms:W3CDTF">2026-03-20T18:50:41Z</dcterms:created>
  <dcterms:modified xsi:type="dcterms:W3CDTF">2026-03-20T19:07:31Z</dcterms:modified>
</cp:coreProperties>
</file>